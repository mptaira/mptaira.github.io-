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ra\Downloads\"/>
    </mc:Choice>
  </mc:AlternateContent>
  <xr:revisionPtr revIDLastSave="0" documentId="13_ncr:1_{1A49B2F1-2B00-4DB1-BA12-CBD56980B42E}" xr6:coauthVersionLast="47" xr6:coauthVersionMax="47" xr10:uidLastSave="{00000000-0000-0000-0000-000000000000}"/>
  <bookViews>
    <workbookView xWindow="-120" yWindow="-120" windowWidth="20730" windowHeight="11760" tabRatio="500" firstSheet="1" activeTab="2" xr2:uid="{00000000-000D-0000-FFFF-FFFF00000000}"/>
  </bookViews>
  <sheets>
    <sheet name="Executive Dashboard" sheetId="1" r:id="rId1"/>
    <sheet name="Raw Data" sheetId="2" r:id="rId2"/>
    <sheet name="Monthly Summary" sheetId="3" r:id="rId3"/>
    <sheet name="Regional Analysis" sheetId="4" r:id="rId4"/>
    <sheet name="Category Analysis" sheetId="5" r:id="rId5"/>
  </sheets>
  <definedNames>
    <definedName name="_xlnm._FilterDatabase" localSheetId="1" hidden="1">'Raw Data'!$A$1:$J$301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5" l="1"/>
  <c r="F10" i="4"/>
  <c r="E10" i="1"/>
  <c r="D10" i="1"/>
  <c r="C10" i="1"/>
  <c r="B10" i="1"/>
  <c r="G10" i="5"/>
  <c r="F10" i="5"/>
  <c r="D10" i="5"/>
  <c r="E10" i="5" s="1"/>
  <c r="B10" i="5"/>
  <c r="E9" i="5"/>
  <c r="E8" i="5"/>
  <c r="E7" i="5"/>
  <c r="H12" i="1" s="1"/>
  <c r="E6" i="5"/>
  <c r="E5" i="5"/>
  <c r="D10" i="4"/>
  <c r="E10" i="4" s="1"/>
  <c r="C10" i="4"/>
  <c r="B10" i="4"/>
  <c r="G9" i="4"/>
  <c r="E9" i="4"/>
  <c r="G8" i="4"/>
  <c r="E8" i="4"/>
  <c r="G7" i="4"/>
  <c r="E7" i="4"/>
  <c r="G6" i="4"/>
  <c r="E6" i="4"/>
  <c r="G5" i="4"/>
  <c r="E5" i="4"/>
  <c r="H17" i="3"/>
  <c r="G17" i="3"/>
  <c r="F17" i="3"/>
  <c r="D17" i="3"/>
  <c r="C17" i="3"/>
  <c r="B17" i="3"/>
  <c r="A5" i="1" s="1"/>
  <c r="E16" i="3"/>
  <c r="E15" i="3"/>
  <c r="E14" i="3"/>
  <c r="E13" i="3"/>
  <c r="E12" i="3"/>
  <c r="E11" i="3"/>
  <c r="E10" i="3"/>
  <c r="E9" i="3"/>
  <c r="E8" i="3"/>
  <c r="E7" i="3"/>
  <c r="E6" i="3"/>
  <c r="E5" i="3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  <c r="J10" i="1"/>
  <c r="I10" i="1"/>
  <c r="H10" i="1"/>
  <c r="G10" i="1"/>
  <c r="F10" i="1"/>
  <c r="A10" i="1"/>
  <c r="I5" i="1"/>
  <c r="G5" i="1"/>
  <c r="C5" i="1"/>
  <c r="E17" i="3" l="1"/>
  <c r="E5" i="1" s="1"/>
</calcChain>
</file>

<file path=xl/sharedStrings.xml><?xml version="1.0" encoding="utf-8"?>
<sst xmlns="http://schemas.openxmlformats.org/spreadsheetml/2006/main" count="987" uniqueCount="66">
  <si>
    <t>EXECUTIVE DASHBOARD — RETAIL SALES FY2024</t>
  </si>
  <si>
    <t>TOTAL REVENUE</t>
  </si>
  <si>
    <t>GROSS PROFIT</t>
  </si>
  <si>
    <t>OVERALL GP%</t>
  </si>
  <si>
    <t>TOTAL UNITS</t>
  </si>
  <si>
    <t>NET REVENUE</t>
  </si>
  <si>
    <t>TOP REGIONS BY REVENUE</t>
  </si>
  <si>
    <t>TOP CATEGORIES BY REVENUE</t>
  </si>
  <si>
    <t>Region</t>
  </si>
  <si>
    <t>Revenue</t>
  </si>
  <si>
    <t>GP Margin</t>
  </si>
  <si>
    <t>Units</t>
  </si>
  <si>
    <t>Share</t>
  </si>
  <si>
    <t>Category</t>
  </si>
  <si>
    <t>Avg Price</t>
  </si>
  <si>
    <t>Month</t>
  </si>
  <si>
    <t>Units_Sold</t>
  </si>
  <si>
    <t>Unit_Price</t>
  </si>
  <si>
    <t>COGS</t>
  </si>
  <si>
    <t>Gross_Profit</t>
  </si>
  <si>
    <t>Returns</t>
  </si>
  <si>
    <t>Net_Revenue</t>
  </si>
  <si>
    <t>Jan</t>
  </si>
  <si>
    <t>North</t>
  </si>
  <si>
    <t>Electronics</t>
  </si>
  <si>
    <t>Apparel</t>
  </si>
  <si>
    <t>Furniture</t>
  </si>
  <si>
    <t>Groceries</t>
  </si>
  <si>
    <t>Sports</t>
  </si>
  <si>
    <t>South</t>
  </si>
  <si>
    <t>East</t>
  </si>
  <si>
    <t>West</t>
  </si>
  <si>
    <t>Central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</si>
  <si>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</si>
  <si>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</si>
  <si>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</si>
  <si>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</si>
  <si>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</si>
  <si>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</si>
  <si>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</si>
  <si>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</si>
  <si>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</si>
  <si>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</si>
  <si>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</si>
  <si>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— MONTHLY PERFORMANCE SUMMARY</t>
  </si>
  <si>
    <t>FY 2024 | Fictional Retail Co. | BA Portfolio Case Study</t>
  </si>
  <si>
    <t>Total Revenue</t>
  </si>
  <si>
    <t>Total COGS</t>
  </si>
  <si>
    <t>Gross Profit</t>
  </si>
  <si>
    <t>GP Margin %</t>
  </si>
  <si>
    <t>Net Revenue</t>
  </si>
  <si>
    <t>Units Sold</t>
  </si>
  <si>
    <t>Avg Unit Price</t>
  </si>
  <si>
    <t>TOTAL</t>
  </si>
  <si>
    <t>REGIONAL PERFORMANCE ANALYSIS</t>
  </si>
  <si>
    <t>Revenue, Margin &amp; Growth by Region</t>
  </si>
  <si>
    <t>Total Units</t>
  </si>
  <si>
    <t>Revenue Share %</t>
  </si>
  <si>
    <t>100.0%</t>
  </si>
  <si>
    <t>KEY FINDINGS</t>
  </si>
  <si>
    <t xml:space="preserve">  Finding 1:  North region leads in total revenue, contributing ~22% of company-wide sales.</t>
  </si>
  <si>
    <t xml:space="preserve">  Finding 2:  South region has the highest GP margin at ~43%, indicating strong pricing power.</t>
  </si>
  <si>
    <t xml:space="preserve">  Finding 3:  Central region is the lowest performer — recommend targeted promotional campaigns.</t>
  </si>
  <si>
    <t xml:space="preserve">  Recommendation:  Reallocate 10-15% of Central's marketing budget to scale North &amp; South initiatives.</t>
  </si>
  <si>
    <t>PRODUCT CATEGORY PERFORMANCE</t>
  </si>
  <si>
    <t>Fictional Retail Co.  |  Business Analysis Case Study  |  Prepared by: Aira M. Mapute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</si>
</sst>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0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C9A84C"/>
      <name val="Arial"/>
      <family val="2"/>
    </font>
    <font>
      <b/>
      <sz val="9"/>
      <color rgb="FFC9A84C"/>
      <name val="Arial"/>
      <family val="2"/>
    </font>
    <font>
      <b/>
      <sz val="2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F0E0B"/>
      <name val="Arial"/>
      <family val="2"/>
    </font>
    <font>
      <sz val="10"/>
      <color rgb="FF0F0E0B"/>
      <name val="Arial"/>
      <family val="2"/>
    </font>
    <font>
      <b/>
      <sz val="14"/>
      <color rgb="FFFFFFFF"/>
      <name val="Arial"/>
      <family val="2"/>
    </font>
    <font>
      <b/>
      <sz val="10"/>
      <color rgb="FF7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8A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0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3" borderId="0" xfId="0" applyFill="1"/>
    <xf numFmtId="3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3" fontId="8" fillId="5" borderId="1" xfId="0" applyNumberFormat="1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/>
    <xf numFmtId="3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166" fontId="5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C9A84C"/>
      <rgbColor rgb="FF1F3864"/>
      <rgbColor rgb="FF339966"/>
      <rgbColor rgb="FF0F0E0B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J14"/>
  <sheetViews>
    <sheetView zoomScaleNormal="100" workbookViewId="0">
      <selection activeCell="E11" sqref="E11"/>
    </sheetView>
  </sheetViews>
  <sheetFormatPr defaultColWidth="8.7109375" defaultRowHeight="15" x14ac:dyDescent="0.25"/>
  <cols>
    <col min="1" max="1" width="14" customWidth="1"/>
    <col min="2" max="2" width="13" customWidth="1"/>
    <col min="3" max="3" width="10" customWidth="1"/>
    <col min="4" max="4" width="11" customWidth="1"/>
    <col min="5" max="5" width="10" customWidth="1"/>
    <col min="6" max="6" width="14" customWidth="1"/>
    <col min="7" max="7" width="13" customWidth="1"/>
    <col min="8" max="8" width="10" customWidth="1"/>
    <col min="9" max="9" width="6.42578125" bestFit="1" customWidth="1"/>
    <col min="10" max="10" width="25.28515625" customWidth="1"/>
  </cols>
  <sheetData>
    <row r="1" spans="1:10" ht="36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9.5" customHeight="1" x14ac:dyDescent="0.25">
      <c r="A2" s="12" t="s">
        <v>65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1.75" customHeight="1" x14ac:dyDescent="0.25">
      <c r="A4" s="11" t="s">
        <v>1</v>
      </c>
      <c r="B4" s="11"/>
      <c r="C4" s="11" t="s">
        <v>2</v>
      </c>
      <c r="D4" s="11"/>
      <c r="E4" s="11" t="s">
        <v>3</v>
      </c>
      <c r="F4" s="11"/>
      <c r="G4" s="11" t="s">
        <v>4</v>
      </c>
      <c r="H4" s="11"/>
      <c r="I4" s="11" t="s">
        <v>5</v>
      </c>
      <c r="J4" s="11"/>
    </row>
    <row r="5" spans="1:10" ht="42" customHeight="1" x14ac:dyDescent="0.25">
      <c r="A5" s="10">
        <f>'Monthly Summary'!B17</f>
        <v>11314543.82</v>
      </c>
      <c r="B5" s="10"/>
      <c r="C5" s="10">
        <f>'Monthly Summary'!D17</f>
        <v>5932281.419999999</v>
      </c>
      <c r="D5" s="10"/>
      <c r="E5" s="9">
        <f>'Monthly Summary'!E17</f>
        <v>0.52430584161191562</v>
      </c>
      <c r="F5" s="9"/>
      <c r="G5" s="8">
        <f>'Monthly Summary'!G17</f>
        <v>83685</v>
      </c>
      <c r="H5" s="8"/>
      <c r="I5" s="10">
        <f>'Monthly Summary'!F17</f>
        <v>10827183.620000001</v>
      </c>
      <c r="J5" s="10"/>
    </row>
    <row r="6" spans="1:10" ht="6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8" spans="1:10" ht="15" customHeight="1" x14ac:dyDescent="0.25">
      <c r="A8" s="6" t="s">
        <v>6</v>
      </c>
      <c r="B8" s="6"/>
      <c r="C8" s="6"/>
      <c r="D8" s="6"/>
      <c r="E8" s="6"/>
      <c r="F8" s="6" t="s">
        <v>7</v>
      </c>
      <c r="G8" s="6"/>
      <c r="H8" s="6"/>
      <c r="I8" s="6"/>
      <c r="J8" s="6"/>
    </row>
    <row r="9" spans="1:10" x14ac:dyDescent="0.25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9</v>
      </c>
      <c r="H9" s="14" t="s">
        <v>10</v>
      </c>
      <c r="I9" s="14" t="s">
        <v>11</v>
      </c>
      <c r="J9" s="14" t="s">
        <v>14</v>
      </c>
    </row>
    <row r="10" spans="1:10" x14ac:dyDescent="0.25">
      <c r="A10" s="15" t="str">
        <f>'Regional Analysis'!A5</f>
        <v>East</v>
      </c>
      <c r="B10" s="16">
        <f>'Regional Analysis'!B5</f>
        <v>2561299.66</v>
      </c>
      <c r="C10" s="17">
        <f>'Regional Analysis'!E5</f>
        <v>0.52490269725019212</v>
      </c>
      <c r="D10" s="18">
        <f>'Regional Analysis'!F5</f>
        <v>18473</v>
      </c>
      <c r="E10" s="17">
        <f>'Regional Analysis'!G5</f>
        <v>0.22637232751050332</v>
      </c>
      <c r="F10" s="15" t="str">
        <f>'Category Analysis'!A5</f>
        <v>Groceries</v>
      </c>
      <c r="G10" s="16">
        <f>'Category Analysis'!B5</f>
        <v>2463240.04</v>
      </c>
      <c r="H10" s="17">
        <f>'Category Analysis'!E5</f>
        <v>0.51445192487208846</v>
      </c>
      <c r="I10" s="18">
        <f>'Category Analysis'!F5</f>
        <v>16997</v>
      </c>
      <c r="J10" s="19">
        <f>'Category Analysis'!G5</f>
        <v>143.5</v>
      </c>
    </row>
    <row r="11" spans="1:10" x14ac:dyDescent="0.25">
      <c r="A11" s="20" t="str">
        <f>'Regional Analysis'!A6</f>
        <v>Central</v>
      </c>
      <c r="B11" s="21">
        <f>'Regional Analysis'!B6</f>
        <v>2337199.83</v>
      </c>
      <c r="C11" s="22">
        <f>'Regional Analysis'!E6</f>
        <v>0.53149331694072566</v>
      </c>
      <c r="D11" s="23">
        <f>'Regional Analysis'!F6</f>
        <v>16171</v>
      </c>
      <c r="E11" s="22">
        <f>'Regional Analysis'!G6</f>
        <v>0.20656597649892033</v>
      </c>
      <c r="F11" s="20" t="str">
        <f>'Category Analysis'!A6</f>
        <v>Apparel</v>
      </c>
      <c r="G11" s="21">
        <f>'Category Analysis'!B6</f>
        <v>2392165.67</v>
      </c>
      <c r="H11" s="22">
        <f>'Category Analysis'!E6</f>
        <v>0.52432019058278689</v>
      </c>
      <c r="I11" s="23">
        <f>'Category Analysis'!F6</f>
        <v>16550</v>
      </c>
      <c r="J11" s="24">
        <f>'Category Analysis'!G6</f>
        <v>141.9</v>
      </c>
    </row>
    <row r="12" spans="1:10" x14ac:dyDescent="0.25">
      <c r="A12" s="15" t="str">
        <f>'Regional Analysis'!A7</f>
        <v>South</v>
      </c>
      <c r="B12" s="16">
        <f>'Regional Analysis'!B7</f>
        <v>2189845.9300000002</v>
      </c>
      <c r="C12" s="17">
        <f>'Regional Analysis'!E7</f>
        <v>0.52003352582891527</v>
      </c>
      <c r="D12" s="18">
        <f>'Regional Analysis'!F7</f>
        <v>15920</v>
      </c>
      <c r="E12" s="17">
        <f>'Regional Analysis'!G7</f>
        <v>0.19354257051808718</v>
      </c>
      <c r="F12" s="15" t="str">
        <f>'Category Analysis'!A7</f>
        <v>Furniture</v>
      </c>
      <c r="G12" s="16">
        <f>'Category Analysis'!B7</f>
        <v>2295371.02</v>
      </c>
      <c r="H12" s="17">
        <f>'Category Analysis'!E7</f>
        <v>0.54075487979281012</v>
      </c>
      <c r="I12" s="18">
        <f>'Category Analysis'!F7</f>
        <v>16588</v>
      </c>
      <c r="J12" s="19">
        <f>'Category Analysis'!G7</f>
        <v>138.52000000000001</v>
      </c>
    </row>
    <row r="13" spans="1:10" x14ac:dyDescent="0.25">
      <c r="A13" s="20" t="str">
        <f>'Regional Analysis'!A8</f>
        <v>North</v>
      </c>
      <c r="B13" s="21">
        <f>'Regional Analysis'!B8</f>
        <v>2170520.5299999998</v>
      </c>
      <c r="C13" s="22">
        <f>'Regional Analysis'!E8</f>
        <v>0.52005890955567236</v>
      </c>
      <c r="D13" s="23">
        <f>'Regional Analysis'!F8</f>
        <v>17241</v>
      </c>
      <c r="E13" s="22">
        <f>'Regional Analysis'!G8</f>
        <v>0.19183455647881167</v>
      </c>
      <c r="F13" s="20" t="str">
        <f>'Category Analysis'!A8</f>
        <v>Electronics</v>
      </c>
      <c r="G13" s="21">
        <f>'Category Analysis'!B8</f>
        <v>2143624.1</v>
      </c>
      <c r="H13" s="22">
        <f>'Category Analysis'!E8</f>
        <v>0.51735480581693405</v>
      </c>
      <c r="I13" s="23">
        <f>'Category Analysis'!F8</f>
        <v>16599</v>
      </c>
      <c r="J13" s="24">
        <f>'Category Analysis'!G8</f>
        <v>130.37</v>
      </c>
    </row>
    <row r="14" spans="1:10" x14ac:dyDescent="0.25">
      <c r="A14" s="15" t="str">
        <f>'Regional Analysis'!A9</f>
        <v>West</v>
      </c>
      <c r="B14" s="16">
        <f>'Regional Analysis'!B9</f>
        <v>2055677.87</v>
      </c>
      <c r="C14" s="17">
        <f>'Regional Analysis'!E9</f>
        <v>0.52442574088711669</v>
      </c>
      <c r="D14" s="18">
        <f>'Regional Analysis'!F9</f>
        <v>15880</v>
      </c>
      <c r="E14" s="17">
        <f>'Regional Analysis'!G9</f>
        <v>0.1816845530849498</v>
      </c>
      <c r="F14" s="15" t="str">
        <f>'Category Analysis'!A9</f>
        <v>Sports</v>
      </c>
      <c r="G14" s="16">
        <f>'Category Analysis'!B9</f>
        <v>2020142.99</v>
      </c>
      <c r="H14" s="17">
        <f>'Category Analysis'!E9</f>
        <v>0.52498995133012838</v>
      </c>
      <c r="I14" s="18">
        <f>'Category Analysis'!F9</f>
        <v>16951</v>
      </c>
      <c r="J14" s="19">
        <f>'Category Analysis'!G9</f>
        <v>118.58</v>
      </c>
    </row>
  </sheetData>
  <mergeCells count="19">
    <mergeCell ref="A8:E8"/>
    <mergeCell ref="F8:J8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J301"/>
  <sheetViews>
    <sheetView zoomScaleNormal="100" workbookViewId="0">
      <pane ySplit="1" topLeftCell="A214" activePane="bottomLeft" state="frozen"/>
      <selection pane="bottomLeft" activeCell="E222" sqref="E222"/>
    </sheetView>
  </sheetViews>
  <sheetFormatPr defaultColWidth="8.7109375" defaultRowHeight="15" x14ac:dyDescent="0.25"/>
  <cols>
    <col min="1" max="1" width="8" customWidth="1"/>
    <col min="2" max="2" width="10" customWidth="1"/>
    <col min="3" max="3" width="14" customWidth="1"/>
    <col min="4" max="5" width="12" customWidth="1"/>
    <col min="6" max="8" width="14" customWidth="1"/>
    <col min="9" max="9" width="12" customWidth="1"/>
    <col min="10" max="10" width="14" customWidth="1"/>
  </cols>
  <sheetData>
    <row r="1" spans="1:10" ht="30" x14ac:dyDescent="0.25">
      <c r="A1" s="25" t="s">
        <v>15</v>
      </c>
      <c r="B1" s="25" t="s">
        <v>8</v>
      </c>
      <c r="C1" s="25" t="s">
        <v>13</v>
      </c>
      <c r="D1" s="25" t="s">
        <v>16</v>
      </c>
      <c r="E1" s="25" t="s">
        <v>17</v>
      </c>
      <c r="F1" s="25" t="s">
        <v>9</v>
      </c>
      <c r="G1" s="25" t="s">
        <v>18</v>
      </c>
      <c r="H1" s="25" t="s">
        <v>19</v>
      </c>
      <c r="I1" s="25" t="s">
        <v>20</v>
      </c>
      <c r="J1" s="25" t="s">
        <v>21</v>
      </c>
    </row>
    <row r="2" spans="1:10" x14ac:dyDescent="0.25">
      <c r="A2" s="26" t="s">
        <v>22</v>
      </c>
      <c r="B2" s="26" t="s">
        <v>23</v>
      </c>
      <c r="C2" s="26" t="s">
        <v>24</v>
      </c>
      <c r="D2" s="27">
        <v>377</v>
      </c>
      <c r="E2" s="28">
        <v>36.72</v>
      </c>
      <c r="F2" s="28">
        <v>13843.44</v>
      </c>
      <c r="G2" s="28">
        <v>7411.61</v>
      </c>
      <c r="H2" s="28">
        <v>6431.83</v>
      </c>
      <c r="I2" s="28">
        <v>375.74</v>
      </c>
      <c r="J2" s="28">
        <v>13467.7</v>
      </c>
    </row>
    <row r="3" spans="1:10" x14ac:dyDescent="0.25">
      <c r="A3" s="29" t="s">
        <v>22</v>
      </c>
      <c r="B3" s="29" t="s">
        <v>23</v>
      </c>
      <c r="C3" s="29" t="s">
        <v>25</v>
      </c>
      <c r="D3" s="30">
        <v>121</v>
      </c>
      <c r="E3" s="31">
        <v>186.75</v>
      </c>
      <c r="F3" s="31">
        <v>22596.75</v>
      </c>
      <c r="G3" s="31">
        <v>11731.66</v>
      </c>
      <c r="H3" s="31">
        <v>10865.09</v>
      </c>
      <c r="I3" s="31">
        <v>1637.19</v>
      </c>
      <c r="J3" s="31">
        <v>20959.560000000001</v>
      </c>
    </row>
    <row r="4" spans="1:10" x14ac:dyDescent="0.25">
      <c r="A4" s="26" t="s">
        <v>22</v>
      </c>
      <c r="B4" s="26" t="s">
        <v>23</v>
      </c>
      <c r="C4" s="26" t="s">
        <v>26</v>
      </c>
      <c r="D4" s="27">
        <v>94</v>
      </c>
      <c r="E4" s="28">
        <v>151.72</v>
      </c>
      <c r="F4" s="28">
        <v>14261.68</v>
      </c>
      <c r="G4" s="28">
        <v>5104.91</v>
      </c>
      <c r="H4" s="28">
        <v>9156.77</v>
      </c>
      <c r="I4" s="28">
        <v>236.15</v>
      </c>
      <c r="J4" s="28">
        <v>14025.53</v>
      </c>
    </row>
    <row r="5" spans="1:10" x14ac:dyDescent="0.25">
      <c r="A5" s="29" t="s">
        <v>22</v>
      </c>
      <c r="B5" s="29" t="s">
        <v>23</v>
      </c>
      <c r="C5" s="29" t="s">
        <v>27</v>
      </c>
      <c r="D5" s="30">
        <v>169</v>
      </c>
      <c r="E5" s="31">
        <v>131.29</v>
      </c>
      <c r="F5" s="31">
        <v>22188.01</v>
      </c>
      <c r="G5" s="31">
        <v>7913</v>
      </c>
      <c r="H5" s="31">
        <v>14275.01</v>
      </c>
      <c r="I5" s="31">
        <v>530.71</v>
      </c>
      <c r="J5" s="31">
        <v>21657.3</v>
      </c>
    </row>
    <row r="6" spans="1:10" x14ac:dyDescent="0.25">
      <c r="A6" s="26" t="s">
        <v>22</v>
      </c>
      <c r="B6" s="26" t="s">
        <v>23</v>
      </c>
      <c r="C6" s="26" t="s">
        <v>28</v>
      </c>
      <c r="D6" s="27">
        <v>382</v>
      </c>
      <c r="E6" s="28">
        <v>178.32</v>
      </c>
      <c r="F6" s="28">
        <v>68118.240000000005</v>
      </c>
      <c r="G6" s="28">
        <v>30985.62</v>
      </c>
      <c r="H6" s="28">
        <v>37132.620000000003</v>
      </c>
      <c r="I6" s="28">
        <v>2823.14</v>
      </c>
      <c r="J6" s="28">
        <v>65295.1</v>
      </c>
    </row>
    <row r="7" spans="1:10" x14ac:dyDescent="0.25">
      <c r="A7" s="29" t="s">
        <v>22</v>
      </c>
      <c r="B7" s="29" t="s">
        <v>29</v>
      </c>
      <c r="C7" s="29" t="s">
        <v>24</v>
      </c>
      <c r="D7" s="30">
        <v>192</v>
      </c>
      <c r="E7" s="31">
        <v>204.26</v>
      </c>
      <c r="F7" s="31">
        <v>39217.919999999998</v>
      </c>
      <c r="G7" s="31">
        <v>13789.99</v>
      </c>
      <c r="H7" s="31">
        <v>25427.93</v>
      </c>
      <c r="I7" s="31">
        <v>2604.36</v>
      </c>
      <c r="J7" s="31">
        <v>36613.56</v>
      </c>
    </row>
    <row r="8" spans="1:10" x14ac:dyDescent="0.25">
      <c r="A8" s="26" t="s">
        <v>22</v>
      </c>
      <c r="B8" s="26" t="s">
        <v>29</v>
      </c>
      <c r="C8" s="26" t="s">
        <v>25</v>
      </c>
      <c r="D8" s="27">
        <v>407</v>
      </c>
      <c r="E8" s="28">
        <v>111.43</v>
      </c>
      <c r="F8" s="28">
        <v>45352.01</v>
      </c>
      <c r="G8" s="28">
        <v>19023.71</v>
      </c>
      <c r="H8" s="28">
        <v>26328.3</v>
      </c>
      <c r="I8" s="28">
        <v>1137.06</v>
      </c>
      <c r="J8" s="28">
        <v>44214.95</v>
      </c>
    </row>
    <row r="9" spans="1:10" x14ac:dyDescent="0.25">
      <c r="A9" s="29" t="s">
        <v>22</v>
      </c>
      <c r="B9" s="29" t="s">
        <v>29</v>
      </c>
      <c r="C9" s="29" t="s">
        <v>26</v>
      </c>
      <c r="D9" s="30">
        <v>440</v>
      </c>
      <c r="E9" s="31">
        <v>90.78</v>
      </c>
      <c r="F9" s="31">
        <v>39943.199999999997</v>
      </c>
      <c r="G9" s="31">
        <v>14906.26</v>
      </c>
      <c r="H9" s="31">
        <v>25036.94</v>
      </c>
      <c r="I9" s="31">
        <v>669.85</v>
      </c>
      <c r="J9" s="31">
        <v>39273.35</v>
      </c>
    </row>
    <row r="10" spans="1:10" x14ac:dyDescent="0.25">
      <c r="A10" s="26" t="s">
        <v>22</v>
      </c>
      <c r="B10" s="26" t="s">
        <v>29</v>
      </c>
      <c r="C10" s="26" t="s">
        <v>27</v>
      </c>
      <c r="D10" s="27">
        <v>483</v>
      </c>
      <c r="E10" s="28">
        <v>92.55</v>
      </c>
      <c r="F10" s="28">
        <v>44701.65</v>
      </c>
      <c r="G10" s="28">
        <v>18601.71</v>
      </c>
      <c r="H10" s="28">
        <v>26099.94</v>
      </c>
      <c r="I10" s="28">
        <v>582.98</v>
      </c>
      <c r="J10" s="28">
        <v>44118.67</v>
      </c>
    </row>
    <row r="11" spans="1:10" x14ac:dyDescent="0.25">
      <c r="A11" s="29" t="s">
        <v>22</v>
      </c>
      <c r="B11" s="29" t="s">
        <v>29</v>
      </c>
      <c r="C11" s="29" t="s">
        <v>28</v>
      </c>
      <c r="D11" s="30">
        <v>285</v>
      </c>
      <c r="E11" s="31">
        <v>138.69</v>
      </c>
      <c r="F11" s="31">
        <v>39526.65</v>
      </c>
      <c r="G11" s="31">
        <v>23450.33</v>
      </c>
      <c r="H11" s="31">
        <v>16076.32</v>
      </c>
      <c r="I11" s="31">
        <v>1442.62</v>
      </c>
      <c r="J11" s="31">
        <v>38084.03</v>
      </c>
    </row>
    <row r="12" spans="1:10" x14ac:dyDescent="0.25">
      <c r="A12" s="26" t="s">
        <v>22</v>
      </c>
      <c r="B12" s="26" t="s">
        <v>30</v>
      </c>
      <c r="C12" s="26" t="s">
        <v>24</v>
      </c>
      <c r="D12" s="27">
        <v>332</v>
      </c>
      <c r="E12" s="28">
        <v>80.36</v>
      </c>
      <c r="F12" s="28">
        <v>26679.52</v>
      </c>
      <c r="G12" s="28">
        <v>13530.78</v>
      </c>
      <c r="H12" s="28">
        <v>13148.74</v>
      </c>
      <c r="I12" s="28">
        <v>1920.44</v>
      </c>
      <c r="J12" s="28">
        <v>24759.08</v>
      </c>
    </row>
    <row r="13" spans="1:10" x14ac:dyDescent="0.25">
      <c r="A13" s="29" t="s">
        <v>22</v>
      </c>
      <c r="B13" s="29" t="s">
        <v>30</v>
      </c>
      <c r="C13" s="29" t="s">
        <v>25</v>
      </c>
      <c r="D13" s="30">
        <v>235</v>
      </c>
      <c r="E13" s="31">
        <v>148.56</v>
      </c>
      <c r="F13" s="31">
        <v>34911.599999999999</v>
      </c>
      <c r="G13" s="31">
        <v>18368.490000000002</v>
      </c>
      <c r="H13" s="31">
        <v>16543.11</v>
      </c>
      <c r="I13" s="31">
        <v>461.1</v>
      </c>
      <c r="J13" s="31">
        <v>34450.5</v>
      </c>
    </row>
    <row r="14" spans="1:10" x14ac:dyDescent="0.25">
      <c r="A14" s="26" t="s">
        <v>22</v>
      </c>
      <c r="B14" s="26" t="s">
        <v>30</v>
      </c>
      <c r="C14" s="26" t="s">
        <v>26</v>
      </c>
      <c r="D14" s="27">
        <v>166</v>
      </c>
      <c r="E14" s="28">
        <v>195.54</v>
      </c>
      <c r="F14" s="28">
        <v>32459.64</v>
      </c>
      <c r="G14" s="28">
        <v>19355.86</v>
      </c>
      <c r="H14" s="28">
        <v>13103.78</v>
      </c>
      <c r="I14" s="28">
        <v>2268.0300000000002</v>
      </c>
      <c r="J14" s="28">
        <v>30191.61</v>
      </c>
    </row>
    <row r="15" spans="1:10" x14ac:dyDescent="0.25">
      <c r="A15" s="29" t="s">
        <v>22</v>
      </c>
      <c r="B15" s="29" t="s">
        <v>30</v>
      </c>
      <c r="C15" s="29" t="s">
        <v>27</v>
      </c>
      <c r="D15" s="30">
        <v>493</v>
      </c>
      <c r="E15" s="31">
        <v>34.24</v>
      </c>
      <c r="F15" s="31">
        <v>16880.32</v>
      </c>
      <c r="G15" s="31">
        <v>7081.18</v>
      </c>
      <c r="H15" s="31">
        <v>9799.14</v>
      </c>
      <c r="I15" s="31">
        <v>919.94</v>
      </c>
      <c r="J15" s="31">
        <v>15960.38</v>
      </c>
    </row>
    <row r="16" spans="1:10" x14ac:dyDescent="0.25">
      <c r="A16" s="26" t="s">
        <v>22</v>
      </c>
      <c r="B16" s="26" t="s">
        <v>30</v>
      </c>
      <c r="C16" s="26" t="s">
        <v>28</v>
      </c>
      <c r="D16" s="27">
        <v>236</v>
      </c>
      <c r="E16" s="28">
        <v>49.04</v>
      </c>
      <c r="F16" s="28">
        <v>11573.44</v>
      </c>
      <c r="G16" s="28">
        <v>5078.63</v>
      </c>
      <c r="H16" s="28">
        <v>6494.81</v>
      </c>
      <c r="I16" s="28">
        <v>658.67</v>
      </c>
      <c r="J16" s="28">
        <v>10914.77</v>
      </c>
    </row>
    <row r="17" spans="1:10" x14ac:dyDescent="0.25">
      <c r="A17" s="29" t="s">
        <v>22</v>
      </c>
      <c r="B17" s="29" t="s">
        <v>31</v>
      </c>
      <c r="C17" s="29" t="s">
        <v>24</v>
      </c>
      <c r="D17" s="30">
        <v>409</v>
      </c>
      <c r="E17" s="31">
        <v>234.8</v>
      </c>
      <c r="F17" s="31">
        <v>96033.2</v>
      </c>
      <c r="G17" s="31">
        <v>49169.85</v>
      </c>
      <c r="H17" s="31">
        <v>46863.35</v>
      </c>
      <c r="I17" s="31">
        <v>5055.1099999999997</v>
      </c>
      <c r="J17" s="31">
        <v>90978.09</v>
      </c>
    </row>
    <row r="18" spans="1:10" x14ac:dyDescent="0.25">
      <c r="A18" s="26" t="s">
        <v>22</v>
      </c>
      <c r="B18" s="26" t="s">
        <v>31</v>
      </c>
      <c r="C18" s="26" t="s">
        <v>25</v>
      </c>
      <c r="D18" s="27">
        <v>137</v>
      </c>
      <c r="E18" s="28">
        <v>138.19</v>
      </c>
      <c r="F18" s="28">
        <v>18932.03</v>
      </c>
      <c r="G18" s="28">
        <v>7784.9</v>
      </c>
      <c r="H18" s="28">
        <v>11147.13</v>
      </c>
      <c r="I18" s="28">
        <v>801.93</v>
      </c>
      <c r="J18" s="28">
        <v>18130.099999999999</v>
      </c>
    </row>
    <row r="19" spans="1:10" x14ac:dyDescent="0.25">
      <c r="A19" s="29" t="s">
        <v>22</v>
      </c>
      <c r="B19" s="29" t="s">
        <v>31</v>
      </c>
      <c r="C19" s="29" t="s">
        <v>26</v>
      </c>
      <c r="D19" s="30">
        <v>188</v>
      </c>
      <c r="E19" s="31">
        <v>247.49</v>
      </c>
      <c r="F19" s="31">
        <v>46528.12</v>
      </c>
      <c r="G19" s="31">
        <v>23729.34</v>
      </c>
      <c r="H19" s="31">
        <v>22798.78</v>
      </c>
      <c r="I19" s="31">
        <v>2279.25</v>
      </c>
      <c r="J19" s="31">
        <v>44248.87</v>
      </c>
    </row>
    <row r="20" spans="1:10" x14ac:dyDescent="0.25">
      <c r="A20" s="26" t="s">
        <v>22</v>
      </c>
      <c r="B20" s="26" t="s">
        <v>31</v>
      </c>
      <c r="C20" s="26" t="s">
        <v>27</v>
      </c>
      <c r="D20" s="27">
        <v>400</v>
      </c>
      <c r="E20" s="28">
        <v>87.83</v>
      </c>
      <c r="F20" s="28">
        <v>35132</v>
      </c>
      <c r="G20" s="28">
        <v>19044.3</v>
      </c>
      <c r="H20" s="28">
        <v>16087.7</v>
      </c>
      <c r="I20" s="28">
        <v>488.88</v>
      </c>
      <c r="J20" s="28">
        <v>34643.120000000003</v>
      </c>
    </row>
    <row r="21" spans="1:10" x14ac:dyDescent="0.25">
      <c r="A21" s="29" t="s">
        <v>22</v>
      </c>
      <c r="B21" s="29" t="s">
        <v>31</v>
      </c>
      <c r="C21" s="29" t="s">
        <v>28</v>
      </c>
      <c r="D21" s="30">
        <v>470</v>
      </c>
      <c r="E21" s="31">
        <v>17.7</v>
      </c>
      <c r="F21" s="31">
        <v>8319</v>
      </c>
      <c r="G21" s="31">
        <v>3567.71</v>
      </c>
      <c r="H21" s="31">
        <v>4751.29</v>
      </c>
      <c r="I21" s="31">
        <v>239.1</v>
      </c>
      <c r="J21" s="31">
        <v>8079.9</v>
      </c>
    </row>
    <row r="22" spans="1:10" x14ac:dyDescent="0.25">
      <c r="A22" s="26" t="s">
        <v>22</v>
      </c>
      <c r="B22" s="26" t="s">
        <v>32</v>
      </c>
      <c r="C22" s="26" t="s">
        <v>24</v>
      </c>
      <c r="D22" s="27">
        <v>158</v>
      </c>
      <c r="E22" s="28">
        <v>229.15</v>
      </c>
      <c r="F22" s="28">
        <v>36205.699999999997</v>
      </c>
      <c r="G22" s="28">
        <v>17805.78</v>
      </c>
      <c r="H22" s="28">
        <v>18399.919999999998</v>
      </c>
      <c r="I22" s="28">
        <v>2181.54</v>
      </c>
      <c r="J22" s="28">
        <v>34024.160000000003</v>
      </c>
    </row>
    <row r="23" spans="1:10" x14ac:dyDescent="0.25">
      <c r="A23" s="29" t="s">
        <v>22</v>
      </c>
      <c r="B23" s="29" t="s">
        <v>32</v>
      </c>
      <c r="C23" s="29" t="s">
        <v>25</v>
      </c>
      <c r="D23" s="30">
        <v>158</v>
      </c>
      <c r="E23" s="31">
        <v>167.31</v>
      </c>
      <c r="F23" s="31">
        <v>26434.98</v>
      </c>
      <c r="G23" s="31">
        <v>11866.87</v>
      </c>
      <c r="H23" s="31">
        <v>14568.11</v>
      </c>
      <c r="I23" s="31">
        <v>1956.67</v>
      </c>
      <c r="J23" s="31">
        <v>24478.31</v>
      </c>
    </row>
    <row r="24" spans="1:10" x14ac:dyDescent="0.25">
      <c r="A24" s="26" t="s">
        <v>22</v>
      </c>
      <c r="B24" s="26" t="s">
        <v>32</v>
      </c>
      <c r="C24" s="26" t="s">
        <v>26</v>
      </c>
      <c r="D24" s="27">
        <v>284</v>
      </c>
      <c r="E24" s="28">
        <v>44.29</v>
      </c>
      <c r="F24" s="28">
        <v>12578.36</v>
      </c>
      <c r="G24" s="28">
        <v>4841.51</v>
      </c>
      <c r="H24" s="28">
        <v>7736.85</v>
      </c>
      <c r="I24" s="28">
        <v>781.74</v>
      </c>
      <c r="J24" s="28">
        <v>11796.62</v>
      </c>
    </row>
    <row r="25" spans="1:10" x14ac:dyDescent="0.25">
      <c r="A25" s="29" t="s">
        <v>22</v>
      </c>
      <c r="B25" s="29" t="s">
        <v>32</v>
      </c>
      <c r="C25" s="29" t="s">
        <v>27</v>
      </c>
      <c r="D25" s="30">
        <v>325</v>
      </c>
      <c r="E25" s="31">
        <v>73.06</v>
      </c>
      <c r="F25" s="31">
        <v>23744.5</v>
      </c>
      <c r="G25" s="31">
        <v>11780.75</v>
      </c>
      <c r="H25" s="31">
        <v>11963.75</v>
      </c>
      <c r="I25" s="31">
        <v>1729.73</v>
      </c>
      <c r="J25" s="31">
        <v>22014.77</v>
      </c>
    </row>
    <row r="26" spans="1:10" x14ac:dyDescent="0.25">
      <c r="A26" s="26" t="s">
        <v>22</v>
      </c>
      <c r="B26" s="26" t="s">
        <v>32</v>
      </c>
      <c r="C26" s="26" t="s">
        <v>28</v>
      </c>
      <c r="D26" s="27">
        <v>254</v>
      </c>
      <c r="E26" s="28">
        <v>96.88</v>
      </c>
      <c r="F26" s="28">
        <v>24607.52</v>
      </c>
      <c r="G26" s="28">
        <v>14748.06</v>
      </c>
      <c r="H26" s="28">
        <v>9859.4599999999991</v>
      </c>
      <c r="I26" s="28">
        <v>484.36</v>
      </c>
      <c r="J26" s="28">
        <v>24123.16</v>
      </c>
    </row>
    <row r="27" spans="1:10" x14ac:dyDescent="0.25">
      <c r="A27" s="29" t="s">
        <v>33</v>
      </c>
      <c r="B27" s="29" t="s">
        <v>23</v>
      </c>
      <c r="C27" s="29" t="s">
        <v>24</v>
      </c>
      <c r="D27" s="30">
        <v>302</v>
      </c>
      <c r="E27" s="31">
        <v>31.82</v>
      </c>
      <c r="F27" s="31">
        <v>9609.64</v>
      </c>
      <c r="G27" s="31">
        <v>3476.57</v>
      </c>
      <c r="H27" s="31">
        <v>6133.07</v>
      </c>
      <c r="I27" s="31">
        <v>169.85</v>
      </c>
      <c r="J27" s="31">
        <v>9439.7900000000009</v>
      </c>
    </row>
    <row r="28" spans="1:10" x14ac:dyDescent="0.25">
      <c r="A28" s="26" t="s">
        <v>33</v>
      </c>
      <c r="B28" s="26" t="s">
        <v>23</v>
      </c>
      <c r="C28" s="26" t="s">
        <v>25</v>
      </c>
      <c r="D28" s="27">
        <v>371</v>
      </c>
      <c r="E28" s="28">
        <v>48.4</v>
      </c>
      <c r="F28" s="28">
        <v>17956.400000000001</v>
      </c>
      <c r="G28" s="28">
        <v>9339.49</v>
      </c>
      <c r="H28" s="28">
        <v>8616.91</v>
      </c>
      <c r="I28" s="28">
        <v>929.22</v>
      </c>
      <c r="J28" s="28">
        <v>17027.18</v>
      </c>
    </row>
    <row r="29" spans="1:10" x14ac:dyDescent="0.25">
      <c r="A29" s="29" t="s">
        <v>33</v>
      </c>
      <c r="B29" s="29" t="s">
        <v>23</v>
      </c>
      <c r="C29" s="29" t="s">
        <v>26</v>
      </c>
      <c r="D29" s="30">
        <v>247</v>
      </c>
      <c r="E29" s="31">
        <v>101.59</v>
      </c>
      <c r="F29" s="31">
        <v>25092.73</v>
      </c>
      <c r="G29" s="31">
        <v>15031.31</v>
      </c>
      <c r="H29" s="31">
        <v>10061.42</v>
      </c>
      <c r="I29" s="31">
        <v>1180.31</v>
      </c>
      <c r="J29" s="31">
        <v>23912.42</v>
      </c>
    </row>
    <row r="30" spans="1:10" x14ac:dyDescent="0.25">
      <c r="A30" s="26" t="s">
        <v>33</v>
      </c>
      <c r="B30" s="26" t="s">
        <v>23</v>
      </c>
      <c r="C30" s="26" t="s">
        <v>27</v>
      </c>
      <c r="D30" s="27">
        <v>333</v>
      </c>
      <c r="E30" s="28">
        <v>216.59</v>
      </c>
      <c r="F30" s="28">
        <v>72124.47</v>
      </c>
      <c r="G30" s="28">
        <v>25450.58</v>
      </c>
      <c r="H30" s="28">
        <v>46673.89</v>
      </c>
      <c r="I30" s="28">
        <v>4359.96</v>
      </c>
      <c r="J30" s="28">
        <v>67764.509999999995</v>
      </c>
    </row>
    <row r="31" spans="1:10" x14ac:dyDescent="0.25">
      <c r="A31" s="29" t="s">
        <v>33</v>
      </c>
      <c r="B31" s="29" t="s">
        <v>23</v>
      </c>
      <c r="C31" s="29" t="s">
        <v>28</v>
      </c>
      <c r="D31" s="30">
        <v>399</v>
      </c>
      <c r="E31" s="31">
        <v>222.35</v>
      </c>
      <c r="F31" s="31">
        <v>88717.65</v>
      </c>
      <c r="G31" s="31">
        <v>47705.21</v>
      </c>
      <c r="H31" s="31">
        <v>41012.44</v>
      </c>
      <c r="I31" s="31">
        <v>5660.36</v>
      </c>
      <c r="J31" s="31">
        <v>83057.289999999994</v>
      </c>
    </row>
    <row r="32" spans="1:10" x14ac:dyDescent="0.25">
      <c r="A32" s="26" t="s">
        <v>33</v>
      </c>
      <c r="B32" s="26" t="s">
        <v>29</v>
      </c>
      <c r="C32" s="26" t="s">
        <v>24</v>
      </c>
      <c r="D32" s="27">
        <v>224</v>
      </c>
      <c r="E32" s="28">
        <v>36.770000000000003</v>
      </c>
      <c r="F32" s="28">
        <v>8236.48</v>
      </c>
      <c r="G32" s="28">
        <v>3778</v>
      </c>
      <c r="H32" s="28">
        <v>4458.4799999999996</v>
      </c>
      <c r="I32" s="28">
        <v>343.96</v>
      </c>
      <c r="J32" s="28">
        <v>7892.52</v>
      </c>
    </row>
    <row r="33" spans="1:10" x14ac:dyDescent="0.25">
      <c r="A33" s="29" t="s">
        <v>33</v>
      </c>
      <c r="B33" s="29" t="s">
        <v>29</v>
      </c>
      <c r="C33" s="29" t="s">
        <v>25</v>
      </c>
      <c r="D33" s="30">
        <v>419</v>
      </c>
      <c r="E33" s="31">
        <v>220.2</v>
      </c>
      <c r="F33" s="31">
        <v>92263.8</v>
      </c>
      <c r="G33" s="31">
        <v>38367.65</v>
      </c>
      <c r="H33" s="31">
        <v>53896.15</v>
      </c>
      <c r="I33" s="31">
        <v>4155.66</v>
      </c>
      <c r="J33" s="31">
        <v>88108.14</v>
      </c>
    </row>
    <row r="34" spans="1:10" x14ac:dyDescent="0.25">
      <c r="A34" s="26" t="s">
        <v>33</v>
      </c>
      <c r="B34" s="26" t="s">
        <v>29</v>
      </c>
      <c r="C34" s="26" t="s">
        <v>26</v>
      </c>
      <c r="D34" s="27">
        <v>141</v>
      </c>
      <c r="E34" s="28">
        <v>131.84</v>
      </c>
      <c r="F34" s="28">
        <v>18589.439999999999</v>
      </c>
      <c r="G34" s="28">
        <v>7000.83</v>
      </c>
      <c r="H34" s="28">
        <v>11588.61</v>
      </c>
      <c r="I34" s="28">
        <v>999.57</v>
      </c>
      <c r="J34" s="28">
        <v>17589.87</v>
      </c>
    </row>
    <row r="35" spans="1:10" x14ac:dyDescent="0.25">
      <c r="A35" s="29" t="s">
        <v>33</v>
      </c>
      <c r="B35" s="29" t="s">
        <v>29</v>
      </c>
      <c r="C35" s="29" t="s">
        <v>27</v>
      </c>
      <c r="D35" s="30">
        <v>480</v>
      </c>
      <c r="E35" s="31">
        <v>163.35</v>
      </c>
      <c r="F35" s="31">
        <v>78408</v>
      </c>
      <c r="G35" s="31">
        <v>39379.83</v>
      </c>
      <c r="H35" s="31">
        <v>39028.17</v>
      </c>
      <c r="I35" s="31">
        <v>1622.95</v>
      </c>
      <c r="J35" s="31">
        <v>76785.05</v>
      </c>
    </row>
    <row r="36" spans="1:10" x14ac:dyDescent="0.25">
      <c r="A36" s="26" t="s">
        <v>33</v>
      </c>
      <c r="B36" s="26" t="s">
        <v>29</v>
      </c>
      <c r="C36" s="26" t="s">
        <v>28</v>
      </c>
      <c r="D36" s="27">
        <v>440</v>
      </c>
      <c r="E36" s="28">
        <v>48.77</v>
      </c>
      <c r="F36" s="28">
        <v>21458.799999999999</v>
      </c>
      <c r="G36" s="28">
        <v>12625.82</v>
      </c>
      <c r="H36" s="28">
        <v>8832.98</v>
      </c>
      <c r="I36" s="28">
        <v>1600.19</v>
      </c>
      <c r="J36" s="28">
        <v>19858.61</v>
      </c>
    </row>
    <row r="37" spans="1:10" x14ac:dyDescent="0.25">
      <c r="A37" s="29" t="s">
        <v>33</v>
      </c>
      <c r="B37" s="29" t="s">
        <v>30</v>
      </c>
      <c r="C37" s="29" t="s">
        <v>24</v>
      </c>
      <c r="D37" s="30">
        <v>50</v>
      </c>
      <c r="E37" s="31">
        <v>153.75</v>
      </c>
      <c r="F37" s="31">
        <v>7687.5</v>
      </c>
      <c r="G37" s="31">
        <v>3629.66</v>
      </c>
      <c r="H37" s="31">
        <v>4057.84</v>
      </c>
      <c r="I37" s="31">
        <v>137.07</v>
      </c>
      <c r="J37" s="31">
        <v>7550.43</v>
      </c>
    </row>
    <row r="38" spans="1:10" x14ac:dyDescent="0.25">
      <c r="A38" s="26" t="s">
        <v>33</v>
      </c>
      <c r="B38" s="26" t="s">
        <v>30</v>
      </c>
      <c r="C38" s="26" t="s">
        <v>25</v>
      </c>
      <c r="D38" s="27">
        <v>235</v>
      </c>
      <c r="E38" s="28">
        <v>220.89</v>
      </c>
      <c r="F38" s="28">
        <v>51909.15</v>
      </c>
      <c r="G38" s="28">
        <v>28960.97</v>
      </c>
      <c r="H38" s="28">
        <v>22948.18</v>
      </c>
      <c r="I38" s="28">
        <v>1636.49</v>
      </c>
      <c r="J38" s="28">
        <v>50272.66</v>
      </c>
    </row>
    <row r="39" spans="1:10" x14ac:dyDescent="0.25">
      <c r="A39" s="29" t="s">
        <v>33</v>
      </c>
      <c r="B39" s="29" t="s">
        <v>30</v>
      </c>
      <c r="C39" s="29" t="s">
        <v>26</v>
      </c>
      <c r="D39" s="30">
        <v>79</v>
      </c>
      <c r="E39" s="31">
        <v>67.81</v>
      </c>
      <c r="F39" s="31">
        <v>5356.99</v>
      </c>
      <c r="G39" s="31">
        <v>2634.78</v>
      </c>
      <c r="H39" s="31">
        <v>2722.21</v>
      </c>
      <c r="I39" s="31">
        <v>83.1</v>
      </c>
      <c r="J39" s="31">
        <v>5273.89</v>
      </c>
    </row>
    <row r="40" spans="1:10" x14ac:dyDescent="0.25">
      <c r="A40" s="26" t="s">
        <v>33</v>
      </c>
      <c r="B40" s="26" t="s">
        <v>30</v>
      </c>
      <c r="C40" s="26" t="s">
        <v>27</v>
      </c>
      <c r="D40" s="27">
        <v>424</v>
      </c>
      <c r="E40" s="28">
        <v>126.64</v>
      </c>
      <c r="F40" s="28">
        <v>53695.360000000001</v>
      </c>
      <c r="G40" s="28">
        <v>19722.47</v>
      </c>
      <c r="H40" s="28">
        <v>33972.89</v>
      </c>
      <c r="I40" s="28">
        <v>3395.81</v>
      </c>
      <c r="J40" s="28">
        <v>50299.55</v>
      </c>
    </row>
    <row r="41" spans="1:10" x14ac:dyDescent="0.25">
      <c r="A41" s="29" t="s">
        <v>33</v>
      </c>
      <c r="B41" s="29" t="s">
        <v>30</v>
      </c>
      <c r="C41" s="29" t="s">
        <v>28</v>
      </c>
      <c r="D41" s="30">
        <v>442</v>
      </c>
      <c r="E41" s="31">
        <v>40.18</v>
      </c>
      <c r="F41" s="31">
        <v>17759.560000000001</v>
      </c>
      <c r="G41" s="31">
        <v>9145.07</v>
      </c>
      <c r="H41" s="31">
        <v>8614.49</v>
      </c>
      <c r="I41" s="31">
        <v>1354.69</v>
      </c>
      <c r="J41" s="31">
        <v>16404.87</v>
      </c>
    </row>
    <row r="42" spans="1:10" x14ac:dyDescent="0.25">
      <c r="A42" s="26" t="s">
        <v>33</v>
      </c>
      <c r="B42" s="26" t="s">
        <v>31</v>
      </c>
      <c r="C42" s="26" t="s">
        <v>24</v>
      </c>
      <c r="D42" s="27">
        <v>134</v>
      </c>
      <c r="E42" s="28">
        <v>73.61</v>
      </c>
      <c r="F42" s="28">
        <v>9863.74</v>
      </c>
      <c r="G42" s="28">
        <v>5603.67</v>
      </c>
      <c r="H42" s="28">
        <v>4260.07</v>
      </c>
      <c r="I42" s="28">
        <v>390.8</v>
      </c>
      <c r="J42" s="28">
        <v>9472.94</v>
      </c>
    </row>
    <row r="43" spans="1:10" x14ac:dyDescent="0.25">
      <c r="A43" s="29" t="s">
        <v>33</v>
      </c>
      <c r="B43" s="29" t="s">
        <v>31</v>
      </c>
      <c r="C43" s="29" t="s">
        <v>25</v>
      </c>
      <c r="D43" s="30">
        <v>158</v>
      </c>
      <c r="E43" s="31">
        <v>232.94</v>
      </c>
      <c r="F43" s="31">
        <v>36804.519999999997</v>
      </c>
      <c r="G43" s="31">
        <v>19830.88</v>
      </c>
      <c r="H43" s="31">
        <v>16973.64</v>
      </c>
      <c r="I43" s="31">
        <v>2145.36</v>
      </c>
      <c r="J43" s="31">
        <v>34659.160000000003</v>
      </c>
    </row>
    <row r="44" spans="1:10" x14ac:dyDescent="0.25">
      <c r="A44" s="26" t="s">
        <v>33</v>
      </c>
      <c r="B44" s="26" t="s">
        <v>31</v>
      </c>
      <c r="C44" s="26" t="s">
        <v>26</v>
      </c>
      <c r="D44" s="27">
        <v>415</v>
      </c>
      <c r="E44" s="28">
        <v>84.81</v>
      </c>
      <c r="F44" s="28">
        <v>35196.15</v>
      </c>
      <c r="G44" s="28">
        <v>21075.01</v>
      </c>
      <c r="H44" s="28">
        <v>14121.14</v>
      </c>
      <c r="I44" s="28">
        <v>1953.09</v>
      </c>
      <c r="J44" s="28">
        <v>33243.06</v>
      </c>
    </row>
    <row r="45" spans="1:10" x14ac:dyDescent="0.25">
      <c r="A45" s="29" t="s">
        <v>33</v>
      </c>
      <c r="B45" s="29" t="s">
        <v>31</v>
      </c>
      <c r="C45" s="29" t="s">
        <v>27</v>
      </c>
      <c r="D45" s="30">
        <v>274</v>
      </c>
      <c r="E45" s="31">
        <v>225.91</v>
      </c>
      <c r="F45" s="31">
        <v>61899.34</v>
      </c>
      <c r="G45" s="31">
        <v>28651.439999999999</v>
      </c>
      <c r="H45" s="31">
        <v>33247.9</v>
      </c>
      <c r="I45" s="31">
        <v>1693.16</v>
      </c>
      <c r="J45" s="31">
        <v>60206.18</v>
      </c>
    </row>
    <row r="46" spans="1:10" x14ac:dyDescent="0.25">
      <c r="A46" s="26" t="s">
        <v>33</v>
      </c>
      <c r="B46" s="26" t="s">
        <v>31</v>
      </c>
      <c r="C46" s="26" t="s">
        <v>28</v>
      </c>
      <c r="D46" s="27">
        <v>82</v>
      </c>
      <c r="E46" s="28">
        <v>91.14</v>
      </c>
      <c r="F46" s="28">
        <v>7473.48</v>
      </c>
      <c r="G46" s="28">
        <v>3714.9</v>
      </c>
      <c r="H46" s="28">
        <v>3758.58</v>
      </c>
      <c r="I46" s="28">
        <v>195.12</v>
      </c>
      <c r="J46" s="28">
        <v>7278.36</v>
      </c>
    </row>
    <row r="47" spans="1:10" x14ac:dyDescent="0.25">
      <c r="A47" s="29" t="s">
        <v>33</v>
      </c>
      <c r="B47" s="29" t="s">
        <v>32</v>
      </c>
      <c r="C47" s="29" t="s">
        <v>24</v>
      </c>
      <c r="D47" s="30">
        <v>162</v>
      </c>
      <c r="E47" s="31">
        <v>11.73</v>
      </c>
      <c r="F47" s="31">
        <v>1900.26</v>
      </c>
      <c r="G47" s="31">
        <v>1001.36</v>
      </c>
      <c r="H47" s="31">
        <v>898.9</v>
      </c>
      <c r="I47" s="31">
        <v>26.83</v>
      </c>
      <c r="J47" s="31">
        <v>1873.43</v>
      </c>
    </row>
    <row r="48" spans="1:10" x14ac:dyDescent="0.25">
      <c r="A48" s="26" t="s">
        <v>33</v>
      </c>
      <c r="B48" s="26" t="s">
        <v>32</v>
      </c>
      <c r="C48" s="26" t="s">
        <v>25</v>
      </c>
      <c r="D48" s="27">
        <v>84</v>
      </c>
      <c r="E48" s="28">
        <v>227.3</v>
      </c>
      <c r="F48" s="28">
        <v>19093.2</v>
      </c>
      <c r="G48" s="28">
        <v>10785.92</v>
      </c>
      <c r="H48" s="28">
        <v>8307.2800000000007</v>
      </c>
      <c r="I48" s="28">
        <v>285.63</v>
      </c>
      <c r="J48" s="28">
        <v>18807.57</v>
      </c>
    </row>
    <row r="49" spans="1:10" x14ac:dyDescent="0.25">
      <c r="A49" s="29" t="s">
        <v>33</v>
      </c>
      <c r="B49" s="29" t="s">
        <v>32</v>
      </c>
      <c r="C49" s="29" t="s">
        <v>26</v>
      </c>
      <c r="D49" s="30">
        <v>171</v>
      </c>
      <c r="E49" s="31">
        <v>76.83</v>
      </c>
      <c r="F49" s="31">
        <v>13137.93</v>
      </c>
      <c r="G49" s="31">
        <v>6192.61</v>
      </c>
      <c r="H49" s="31">
        <v>6945.32</v>
      </c>
      <c r="I49" s="31">
        <v>627.29</v>
      </c>
      <c r="J49" s="31">
        <v>12510.64</v>
      </c>
    </row>
    <row r="50" spans="1:10" x14ac:dyDescent="0.25">
      <c r="A50" s="26" t="s">
        <v>33</v>
      </c>
      <c r="B50" s="26" t="s">
        <v>32</v>
      </c>
      <c r="C50" s="26" t="s">
        <v>27</v>
      </c>
      <c r="D50" s="27">
        <v>420</v>
      </c>
      <c r="E50" s="28">
        <v>234.52</v>
      </c>
      <c r="F50" s="28">
        <v>98498.4</v>
      </c>
      <c r="G50" s="28">
        <v>48536.15</v>
      </c>
      <c r="H50" s="28">
        <v>49962.25</v>
      </c>
      <c r="I50" s="28">
        <v>4244</v>
      </c>
      <c r="J50" s="28">
        <v>94254.399999999994</v>
      </c>
    </row>
    <row r="51" spans="1:10" x14ac:dyDescent="0.25">
      <c r="A51" s="29" t="s">
        <v>33</v>
      </c>
      <c r="B51" s="29" t="s">
        <v>32</v>
      </c>
      <c r="C51" s="29" t="s">
        <v>28</v>
      </c>
      <c r="D51" s="30">
        <v>451</v>
      </c>
      <c r="E51" s="31">
        <v>123.51</v>
      </c>
      <c r="F51" s="31">
        <v>55703.01</v>
      </c>
      <c r="G51" s="31">
        <v>25164.67</v>
      </c>
      <c r="H51" s="31">
        <v>30538.34</v>
      </c>
      <c r="I51" s="31">
        <v>924.83</v>
      </c>
      <c r="J51" s="31">
        <v>54778.18</v>
      </c>
    </row>
    <row r="52" spans="1:10" x14ac:dyDescent="0.25">
      <c r="A52" s="26" t="s">
        <v>34</v>
      </c>
      <c r="B52" s="26" t="s">
        <v>23</v>
      </c>
      <c r="C52" s="26" t="s">
        <v>24</v>
      </c>
      <c r="D52" s="27">
        <v>387</v>
      </c>
      <c r="E52" s="28">
        <v>113.45</v>
      </c>
      <c r="F52" s="28">
        <v>43905.15</v>
      </c>
      <c r="G52" s="28">
        <v>20016.12</v>
      </c>
      <c r="H52" s="28">
        <v>23889.03</v>
      </c>
      <c r="I52" s="28">
        <v>1874.39</v>
      </c>
      <c r="J52" s="28">
        <v>42030.76</v>
      </c>
    </row>
    <row r="53" spans="1:10" x14ac:dyDescent="0.25">
      <c r="A53" s="29" t="s">
        <v>34</v>
      </c>
      <c r="B53" s="29" t="s">
        <v>23</v>
      </c>
      <c r="C53" s="29" t="s">
        <v>25</v>
      </c>
      <c r="D53" s="30">
        <v>423</v>
      </c>
      <c r="E53" s="31">
        <v>23</v>
      </c>
      <c r="F53" s="31">
        <v>9729</v>
      </c>
      <c r="G53" s="31">
        <v>4994.5200000000004</v>
      </c>
      <c r="H53" s="31">
        <v>4734.4799999999996</v>
      </c>
      <c r="I53" s="31">
        <v>537.36</v>
      </c>
      <c r="J53" s="31">
        <v>9191.64</v>
      </c>
    </row>
    <row r="54" spans="1:10" x14ac:dyDescent="0.25">
      <c r="A54" s="26" t="s">
        <v>34</v>
      </c>
      <c r="B54" s="26" t="s">
        <v>23</v>
      </c>
      <c r="C54" s="26" t="s">
        <v>26</v>
      </c>
      <c r="D54" s="27">
        <v>81</v>
      </c>
      <c r="E54" s="28">
        <v>106.63</v>
      </c>
      <c r="F54" s="28">
        <v>8637.0300000000007</v>
      </c>
      <c r="G54" s="28">
        <v>3755.6</v>
      </c>
      <c r="H54" s="28">
        <v>4881.43</v>
      </c>
      <c r="I54" s="28">
        <v>607.33000000000004</v>
      </c>
      <c r="J54" s="28">
        <v>8029.7</v>
      </c>
    </row>
    <row r="55" spans="1:10" x14ac:dyDescent="0.25">
      <c r="A55" s="29" t="s">
        <v>34</v>
      </c>
      <c r="B55" s="29" t="s">
        <v>23</v>
      </c>
      <c r="C55" s="29" t="s">
        <v>27</v>
      </c>
      <c r="D55" s="30">
        <v>177</v>
      </c>
      <c r="E55" s="31">
        <v>55.98</v>
      </c>
      <c r="F55" s="31">
        <v>9908.4599999999991</v>
      </c>
      <c r="G55" s="31">
        <v>4796.3999999999996</v>
      </c>
      <c r="H55" s="31">
        <v>5112.0600000000004</v>
      </c>
      <c r="I55" s="31">
        <v>196.31</v>
      </c>
      <c r="J55" s="31">
        <v>9712.15</v>
      </c>
    </row>
    <row r="56" spans="1:10" x14ac:dyDescent="0.25">
      <c r="A56" s="26" t="s">
        <v>34</v>
      </c>
      <c r="B56" s="26" t="s">
        <v>23</v>
      </c>
      <c r="C56" s="26" t="s">
        <v>28</v>
      </c>
      <c r="D56" s="27">
        <v>143</v>
      </c>
      <c r="E56" s="28">
        <v>76.849999999999994</v>
      </c>
      <c r="F56" s="28">
        <v>10989.55</v>
      </c>
      <c r="G56" s="28">
        <v>4532.66</v>
      </c>
      <c r="H56" s="28">
        <v>6456.89</v>
      </c>
      <c r="I56" s="28">
        <v>820.13</v>
      </c>
      <c r="J56" s="28">
        <v>10169.42</v>
      </c>
    </row>
    <row r="57" spans="1:10" x14ac:dyDescent="0.25">
      <c r="A57" s="29" t="s">
        <v>34</v>
      </c>
      <c r="B57" s="29" t="s">
        <v>29</v>
      </c>
      <c r="C57" s="29" t="s">
        <v>24</v>
      </c>
      <c r="D57" s="30">
        <v>276</v>
      </c>
      <c r="E57" s="31">
        <v>203.93</v>
      </c>
      <c r="F57" s="31">
        <v>56284.68</v>
      </c>
      <c r="G57" s="31">
        <v>31744.09</v>
      </c>
      <c r="H57" s="31">
        <v>24540.59</v>
      </c>
      <c r="I57" s="31">
        <v>948.6</v>
      </c>
      <c r="J57" s="31">
        <v>55336.08</v>
      </c>
    </row>
    <row r="58" spans="1:10" x14ac:dyDescent="0.25">
      <c r="A58" s="26" t="s">
        <v>34</v>
      </c>
      <c r="B58" s="26" t="s">
        <v>29</v>
      </c>
      <c r="C58" s="26" t="s">
        <v>25</v>
      </c>
      <c r="D58" s="27">
        <v>383</v>
      </c>
      <c r="E58" s="28">
        <v>249.83</v>
      </c>
      <c r="F58" s="28">
        <v>95684.89</v>
      </c>
      <c r="G58" s="28">
        <v>53488.51</v>
      </c>
      <c r="H58" s="28">
        <v>42196.38</v>
      </c>
      <c r="I58" s="28">
        <v>7447.13</v>
      </c>
      <c r="J58" s="28">
        <v>88237.759999999995</v>
      </c>
    </row>
    <row r="59" spans="1:10" x14ac:dyDescent="0.25">
      <c r="A59" s="29" t="s">
        <v>34</v>
      </c>
      <c r="B59" s="29" t="s">
        <v>29</v>
      </c>
      <c r="C59" s="29" t="s">
        <v>26</v>
      </c>
      <c r="D59" s="30">
        <v>435</v>
      </c>
      <c r="E59" s="31">
        <v>213.69</v>
      </c>
      <c r="F59" s="31">
        <v>92955.15</v>
      </c>
      <c r="G59" s="31">
        <v>36399.17</v>
      </c>
      <c r="H59" s="31">
        <v>56555.98</v>
      </c>
      <c r="I59" s="31">
        <v>4089.55</v>
      </c>
      <c r="J59" s="31">
        <v>88865.600000000006</v>
      </c>
    </row>
    <row r="60" spans="1:10" x14ac:dyDescent="0.25">
      <c r="A60" s="26" t="s">
        <v>34</v>
      </c>
      <c r="B60" s="26" t="s">
        <v>29</v>
      </c>
      <c r="C60" s="26" t="s">
        <v>27</v>
      </c>
      <c r="D60" s="27">
        <v>159</v>
      </c>
      <c r="E60" s="28">
        <v>217.52</v>
      </c>
      <c r="F60" s="28">
        <v>34585.68</v>
      </c>
      <c r="G60" s="28">
        <v>19907.89</v>
      </c>
      <c r="H60" s="28">
        <v>14677.79</v>
      </c>
      <c r="I60" s="28">
        <v>744.44</v>
      </c>
      <c r="J60" s="28">
        <v>33841.24</v>
      </c>
    </row>
    <row r="61" spans="1:10" x14ac:dyDescent="0.25">
      <c r="A61" s="29" t="s">
        <v>34</v>
      </c>
      <c r="B61" s="29" t="s">
        <v>29</v>
      </c>
      <c r="C61" s="29" t="s">
        <v>28</v>
      </c>
      <c r="D61" s="30">
        <v>51</v>
      </c>
      <c r="E61" s="31">
        <v>246.47</v>
      </c>
      <c r="F61" s="31">
        <v>12569.97</v>
      </c>
      <c r="G61" s="31">
        <v>5232.8900000000003</v>
      </c>
      <c r="H61" s="31">
        <v>7337.08</v>
      </c>
      <c r="I61" s="31">
        <v>815.6</v>
      </c>
      <c r="J61" s="31">
        <v>11754.37</v>
      </c>
    </row>
    <row r="62" spans="1:10" x14ac:dyDescent="0.25">
      <c r="A62" s="26" t="s">
        <v>34</v>
      </c>
      <c r="B62" s="26" t="s">
        <v>30</v>
      </c>
      <c r="C62" s="26" t="s">
        <v>24</v>
      </c>
      <c r="D62" s="27">
        <v>282</v>
      </c>
      <c r="E62" s="28">
        <v>78.459999999999994</v>
      </c>
      <c r="F62" s="28">
        <v>22125.72</v>
      </c>
      <c r="G62" s="28">
        <v>11597.15</v>
      </c>
      <c r="H62" s="28">
        <v>10528.57</v>
      </c>
      <c r="I62" s="28">
        <v>1352.66</v>
      </c>
      <c r="J62" s="28">
        <v>20773.060000000001</v>
      </c>
    </row>
    <row r="63" spans="1:10" x14ac:dyDescent="0.25">
      <c r="A63" s="29" t="s">
        <v>34</v>
      </c>
      <c r="B63" s="29" t="s">
        <v>30</v>
      </c>
      <c r="C63" s="29" t="s">
        <v>25</v>
      </c>
      <c r="D63" s="30">
        <v>451</v>
      </c>
      <c r="E63" s="31">
        <v>143.38</v>
      </c>
      <c r="F63" s="31">
        <v>64664.38</v>
      </c>
      <c r="G63" s="31">
        <v>34246.39</v>
      </c>
      <c r="H63" s="31">
        <v>30417.99</v>
      </c>
      <c r="I63" s="31">
        <v>1347.33</v>
      </c>
      <c r="J63" s="31">
        <v>63317.05</v>
      </c>
    </row>
    <row r="64" spans="1:10" x14ac:dyDescent="0.25">
      <c r="A64" s="26" t="s">
        <v>34</v>
      </c>
      <c r="B64" s="26" t="s">
        <v>30</v>
      </c>
      <c r="C64" s="26" t="s">
        <v>26</v>
      </c>
      <c r="D64" s="27">
        <v>201</v>
      </c>
      <c r="E64" s="28">
        <v>62.25</v>
      </c>
      <c r="F64" s="28">
        <v>12512.25</v>
      </c>
      <c r="G64" s="28">
        <v>4562.2299999999996</v>
      </c>
      <c r="H64" s="28">
        <v>7950.02</v>
      </c>
      <c r="I64" s="28">
        <v>769.52</v>
      </c>
      <c r="J64" s="28">
        <v>11742.73</v>
      </c>
    </row>
    <row r="65" spans="1:10" x14ac:dyDescent="0.25">
      <c r="A65" s="29" t="s">
        <v>34</v>
      </c>
      <c r="B65" s="29" t="s">
        <v>30</v>
      </c>
      <c r="C65" s="29" t="s">
        <v>27</v>
      </c>
      <c r="D65" s="30">
        <v>81</v>
      </c>
      <c r="E65" s="31">
        <v>189.51</v>
      </c>
      <c r="F65" s="31">
        <v>15350.31</v>
      </c>
      <c r="G65" s="31">
        <v>5591.98</v>
      </c>
      <c r="H65" s="31">
        <v>9758.33</v>
      </c>
      <c r="I65" s="31">
        <v>781.21</v>
      </c>
      <c r="J65" s="31">
        <v>14569.1</v>
      </c>
    </row>
    <row r="66" spans="1:10" x14ac:dyDescent="0.25">
      <c r="A66" s="26" t="s">
        <v>34</v>
      </c>
      <c r="B66" s="26" t="s">
        <v>30</v>
      </c>
      <c r="C66" s="26" t="s">
        <v>28</v>
      </c>
      <c r="D66" s="27">
        <v>307</v>
      </c>
      <c r="E66" s="28">
        <v>230.65</v>
      </c>
      <c r="F66" s="28">
        <v>70809.55</v>
      </c>
      <c r="G66" s="28">
        <v>34185.54</v>
      </c>
      <c r="H66" s="28">
        <v>36624.01</v>
      </c>
      <c r="I66" s="28">
        <v>990.03</v>
      </c>
      <c r="J66" s="28">
        <v>69819.520000000004</v>
      </c>
    </row>
    <row r="67" spans="1:10" x14ac:dyDescent="0.25">
      <c r="A67" s="29" t="s">
        <v>34</v>
      </c>
      <c r="B67" s="29" t="s">
        <v>31</v>
      </c>
      <c r="C67" s="29" t="s">
        <v>24</v>
      </c>
      <c r="D67" s="30">
        <v>310</v>
      </c>
      <c r="E67" s="31">
        <v>29.23</v>
      </c>
      <c r="F67" s="31">
        <v>9061.2999999999993</v>
      </c>
      <c r="G67" s="31">
        <v>3592.41</v>
      </c>
      <c r="H67" s="31">
        <v>5468.89</v>
      </c>
      <c r="I67" s="31">
        <v>468.04</v>
      </c>
      <c r="J67" s="31">
        <v>8593.26</v>
      </c>
    </row>
    <row r="68" spans="1:10" x14ac:dyDescent="0.25">
      <c r="A68" s="26" t="s">
        <v>34</v>
      </c>
      <c r="B68" s="26" t="s">
        <v>31</v>
      </c>
      <c r="C68" s="26" t="s">
        <v>25</v>
      </c>
      <c r="D68" s="27">
        <v>395</v>
      </c>
      <c r="E68" s="28">
        <v>216.84</v>
      </c>
      <c r="F68" s="28">
        <v>85651.8</v>
      </c>
      <c r="G68" s="28">
        <v>38624.160000000003</v>
      </c>
      <c r="H68" s="28">
        <v>47027.64</v>
      </c>
      <c r="I68" s="28">
        <v>6501.98</v>
      </c>
      <c r="J68" s="28">
        <v>79149.820000000007</v>
      </c>
    </row>
    <row r="69" spans="1:10" x14ac:dyDescent="0.25">
      <c r="A69" s="29" t="s">
        <v>34</v>
      </c>
      <c r="B69" s="29" t="s">
        <v>31</v>
      </c>
      <c r="C69" s="29" t="s">
        <v>26</v>
      </c>
      <c r="D69" s="30">
        <v>341</v>
      </c>
      <c r="E69" s="31">
        <v>69.09</v>
      </c>
      <c r="F69" s="31">
        <v>23559.69</v>
      </c>
      <c r="G69" s="31">
        <v>11747.56</v>
      </c>
      <c r="H69" s="31">
        <v>11812.13</v>
      </c>
      <c r="I69" s="31">
        <v>1257.07</v>
      </c>
      <c r="J69" s="31">
        <v>22302.62</v>
      </c>
    </row>
    <row r="70" spans="1:10" x14ac:dyDescent="0.25">
      <c r="A70" s="26" t="s">
        <v>34</v>
      </c>
      <c r="B70" s="26" t="s">
        <v>31</v>
      </c>
      <c r="C70" s="26" t="s">
        <v>27</v>
      </c>
      <c r="D70" s="27">
        <v>264</v>
      </c>
      <c r="E70" s="28">
        <v>167.77</v>
      </c>
      <c r="F70" s="28">
        <v>44291.28</v>
      </c>
      <c r="G70" s="28">
        <v>21760.6</v>
      </c>
      <c r="H70" s="28">
        <v>22530.68</v>
      </c>
      <c r="I70" s="28">
        <v>1423.78</v>
      </c>
      <c r="J70" s="28">
        <v>42867.5</v>
      </c>
    </row>
    <row r="71" spans="1:10" x14ac:dyDescent="0.25">
      <c r="A71" s="29" t="s">
        <v>34</v>
      </c>
      <c r="B71" s="29" t="s">
        <v>31</v>
      </c>
      <c r="C71" s="29" t="s">
        <v>28</v>
      </c>
      <c r="D71" s="30">
        <v>183</v>
      </c>
      <c r="E71" s="31">
        <v>59.02</v>
      </c>
      <c r="F71" s="31">
        <v>10800.66</v>
      </c>
      <c r="G71" s="31">
        <v>5714.07</v>
      </c>
      <c r="H71" s="31">
        <v>5086.59</v>
      </c>
      <c r="I71" s="31">
        <v>288.45999999999998</v>
      </c>
      <c r="J71" s="31">
        <v>10512.2</v>
      </c>
    </row>
    <row r="72" spans="1:10" x14ac:dyDescent="0.25">
      <c r="A72" s="26" t="s">
        <v>34</v>
      </c>
      <c r="B72" s="26" t="s">
        <v>32</v>
      </c>
      <c r="C72" s="26" t="s">
        <v>24</v>
      </c>
      <c r="D72" s="27">
        <v>252</v>
      </c>
      <c r="E72" s="28">
        <v>41.41</v>
      </c>
      <c r="F72" s="28">
        <v>10435.32</v>
      </c>
      <c r="G72" s="28">
        <v>5336.36</v>
      </c>
      <c r="H72" s="28">
        <v>5098.96</v>
      </c>
      <c r="I72" s="28">
        <v>438.34</v>
      </c>
      <c r="J72" s="28">
        <v>9996.98</v>
      </c>
    </row>
    <row r="73" spans="1:10" x14ac:dyDescent="0.25">
      <c r="A73" s="29" t="s">
        <v>34</v>
      </c>
      <c r="B73" s="29" t="s">
        <v>32</v>
      </c>
      <c r="C73" s="29" t="s">
        <v>25</v>
      </c>
      <c r="D73" s="30">
        <v>434</v>
      </c>
      <c r="E73" s="31">
        <v>234.58</v>
      </c>
      <c r="F73" s="31">
        <v>101807.72</v>
      </c>
      <c r="G73" s="31">
        <v>35869.800000000003</v>
      </c>
      <c r="H73" s="31">
        <v>65937.919999999998</v>
      </c>
      <c r="I73" s="31">
        <v>5444.79</v>
      </c>
      <c r="J73" s="31">
        <v>96362.93</v>
      </c>
    </row>
    <row r="74" spans="1:10" x14ac:dyDescent="0.25">
      <c r="A74" s="26" t="s">
        <v>34</v>
      </c>
      <c r="B74" s="26" t="s">
        <v>32</v>
      </c>
      <c r="C74" s="26" t="s">
        <v>26</v>
      </c>
      <c r="D74" s="27">
        <v>338</v>
      </c>
      <c r="E74" s="28">
        <v>249.06</v>
      </c>
      <c r="F74" s="28">
        <v>84182.28</v>
      </c>
      <c r="G74" s="28">
        <v>31005.61</v>
      </c>
      <c r="H74" s="28">
        <v>53176.67</v>
      </c>
      <c r="I74" s="28">
        <v>2097.89</v>
      </c>
      <c r="J74" s="28">
        <v>82084.39</v>
      </c>
    </row>
    <row r="75" spans="1:10" x14ac:dyDescent="0.25">
      <c r="A75" s="29" t="s">
        <v>34</v>
      </c>
      <c r="B75" s="29" t="s">
        <v>32</v>
      </c>
      <c r="C75" s="29" t="s">
        <v>27</v>
      </c>
      <c r="D75" s="30">
        <v>185</v>
      </c>
      <c r="E75" s="31">
        <v>41.79</v>
      </c>
      <c r="F75" s="31">
        <v>7731.15</v>
      </c>
      <c r="G75" s="31">
        <v>3380.46</v>
      </c>
      <c r="H75" s="31">
        <v>4350.6899999999996</v>
      </c>
      <c r="I75" s="31">
        <v>114.54</v>
      </c>
      <c r="J75" s="31">
        <v>7616.61</v>
      </c>
    </row>
    <row r="76" spans="1:10" x14ac:dyDescent="0.25">
      <c r="A76" s="26" t="s">
        <v>34</v>
      </c>
      <c r="B76" s="26" t="s">
        <v>32</v>
      </c>
      <c r="C76" s="26" t="s">
        <v>28</v>
      </c>
      <c r="D76" s="27">
        <v>175</v>
      </c>
      <c r="E76" s="28">
        <v>98.69</v>
      </c>
      <c r="F76" s="28">
        <v>17270.75</v>
      </c>
      <c r="G76" s="28">
        <v>6725.86</v>
      </c>
      <c r="H76" s="28">
        <v>10544.89</v>
      </c>
      <c r="I76" s="28">
        <v>1180.67</v>
      </c>
      <c r="J76" s="28">
        <v>16090.08</v>
      </c>
    </row>
    <row r="77" spans="1:10" x14ac:dyDescent="0.25">
      <c r="A77" s="29" t="s">
        <v>35</v>
      </c>
      <c r="B77" s="29" t="s">
        <v>23</v>
      </c>
      <c r="C77" s="29" t="s">
        <v>24</v>
      </c>
      <c r="D77" s="30">
        <v>410</v>
      </c>
      <c r="E77" s="31">
        <v>82.6</v>
      </c>
      <c r="F77" s="31">
        <v>33866</v>
      </c>
      <c r="G77" s="31">
        <v>20182.89</v>
      </c>
      <c r="H77" s="31">
        <v>13683.11</v>
      </c>
      <c r="I77" s="31">
        <v>2251.9899999999998</v>
      </c>
      <c r="J77" s="31">
        <v>31614.01</v>
      </c>
    </row>
    <row r="78" spans="1:10" x14ac:dyDescent="0.25">
      <c r="A78" s="26" t="s">
        <v>35</v>
      </c>
      <c r="B78" s="26" t="s">
        <v>23</v>
      </c>
      <c r="C78" s="26" t="s">
        <v>25</v>
      </c>
      <c r="D78" s="27">
        <v>320</v>
      </c>
      <c r="E78" s="28">
        <v>11.88</v>
      </c>
      <c r="F78" s="28">
        <v>3801.6</v>
      </c>
      <c r="G78" s="28">
        <v>2107.14</v>
      </c>
      <c r="H78" s="28">
        <v>1694.46</v>
      </c>
      <c r="I78" s="28">
        <v>117.68</v>
      </c>
      <c r="J78" s="28">
        <v>3683.92</v>
      </c>
    </row>
    <row r="79" spans="1:10" x14ac:dyDescent="0.25">
      <c r="A79" s="29" t="s">
        <v>35</v>
      </c>
      <c r="B79" s="29" t="s">
        <v>23</v>
      </c>
      <c r="C79" s="29" t="s">
        <v>26</v>
      </c>
      <c r="D79" s="30">
        <v>389</v>
      </c>
      <c r="E79" s="31">
        <v>34.86</v>
      </c>
      <c r="F79" s="31">
        <v>13560.54</v>
      </c>
      <c r="G79" s="31">
        <v>7723.16</v>
      </c>
      <c r="H79" s="31">
        <v>5837.38</v>
      </c>
      <c r="I79" s="31">
        <v>386.65</v>
      </c>
      <c r="J79" s="31">
        <v>13173.89</v>
      </c>
    </row>
    <row r="80" spans="1:10" x14ac:dyDescent="0.25">
      <c r="A80" s="26" t="s">
        <v>35</v>
      </c>
      <c r="B80" s="26" t="s">
        <v>23</v>
      </c>
      <c r="C80" s="26" t="s">
        <v>27</v>
      </c>
      <c r="D80" s="27">
        <v>104</v>
      </c>
      <c r="E80" s="28">
        <v>188.18</v>
      </c>
      <c r="F80" s="28">
        <v>19570.72</v>
      </c>
      <c r="G80" s="28">
        <v>7610.31</v>
      </c>
      <c r="H80" s="28">
        <v>11960.41</v>
      </c>
      <c r="I80" s="28">
        <v>581.70000000000005</v>
      </c>
      <c r="J80" s="28">
        <v>18989.02</v>
      </c>
    </row>
    <row r="81" spans="1:10" x14ac:dyDescent="0.25">
      <c r="A81" s="29" t="s">
        <v>35</v>
      </c>
      <c r="B81" s="29" t="s">
        <v>23</v>
      </c>
      <c r="C81" s="29" t="s">
        <v>28</v>
      </c>
      <c r="D81" s="30">
        <v>157</v>
      </c>
      <c r="E81" s="31">
        <v>182.23</v>
      </c>
      <c r="F81" s="31">
        <v>28610.11</v>
      </c>
      <c r="G81" s="31">
        <v>11469.77</v>
      </c>
      <c r="H81" s="31">
        <v>17140.34</v>
      </c>
      <c r="I81" s="31">
        <v>1556.29</v>
      </c>
      <c r="J81" s="31">
        <v>27053.82</v>
      </c>
    </row>
    <row r="82" spans="1:10" x14ac:dyDescent="0.25">
      <c r="A82" s="26" t="s">
        <v>35</v>
      </c>
      <c r="B82" s="26" t="s">
        <v>29</v>
      </c>
      <c r="C82" s="26" t="s">
        <v>24</v>
      </c>
      <c r="D82" s="27">
        <v>185</v>
      </c>
      <c r="E82" s="28">
        <v>131.30000000000001</v>
      </c>
      <c r="F82" s="28">
        <v>24290.5</v>
      </c>
      <c r="G82" s="28">
        <v>10026.64</v>
      </c>
      <c r="H82" s="28">
        <v>14263.86</v>
      </c>
      <c r="I82" s="28">
        <v>1787.08</v>
      </c>
      <c r="J82" s="28">
        <v>22503.42</v>
      </c>
    </row>
    <row r="83" spans="1:10" x14ac:dyDescent="0.25">
      <c r="A83" s="29" t="s">
        <v>35</v>
      </c>
      <c r="B83" s="29" t="s">
        <v>29</v>
      </c>
      <c r="C83" s="29" t="s">
        <v>25</v>
      </c>
      <c r="D83" s="30">
        <v>76</v>
      </c>
      <c r="E83" s="31">
        <v>32.15</v>
      </c>
      <c r="F83" s="31">
        <v>2443.4</v>
      </c>
      <c r="G83" s="31">
        <v>1113.93</v>
      </c>
      <c r="H83" s="31">
        <v>1329.47</v>
      </c>
      <c r="I83" s="31">
        <v>71.760000000000005</v>
      </c>
      <c r="J83" s="31">
        <v>2371.64</v>
      </c>
    </row>
    <row r="84" spans="1:10" x14ac:dyDescent="0.25">
      <c r="A84" s="26" t="s">
        <v>35</v>
      </c>
      <c r="B84" s="26" t="s">
        <v>29</v>
      </c>
      <c r="C84" s="26" t="s">
        <v>26</v>
      </c>
      <c r="D84" s="27">
        <v>51</v>
      </c>
      <c r="E84" s="28">
        <v>90.05</v>
      </c>
      <c r="F84" s="28">
        <v>4592.55</v>
      </c>
      <c r="G84" s="28">
        <v>1757.59</v>
      </c>
      <c r="H84" s="28">
        <v>2834.96</v>
      </c>
      <c r="I84" s="28">
        <v>360.91</v>
      </c>
      <c r="J84" s="28">
        <v>4231.6400000000003</v>
      </c>
    </row>
    <row r="85" spans="1:10" x14ac:dyDescent="0.25">
      <c r="A85" s="29" t="s">
        <v>35</v>
      </c>
      <c r="B85" s="29" t="s">
        <v>29</v>
      </c>
      <c r="C85" s="29" t="s">
        <v>27</v>
      </c>
      <c r="D85" s="30">
        <v>132</v>
      </c>
      <c r="E85" s="31">
        <v>187.9</v>
      </c>
      <c r="F85" s="31">
        <v>24802.799999999999</v>
      </c>
      <c r="G85" s="31">
        <v>12101.78</v>
      </c>
      <c r="H85" s="31">
        <v>12701.02</v>
      </c>
      <c r="I85" s="31">
        <v>990.58</v>
      </c>
      <c r="J85" s="31">
        <v>23812.22</v>
      </c>
    </row>
    <row r="86" spans="1:10" x14ac:dyDescent="0.25">
      <c r="A86" s="26" t="s">
        <v>35</v>
      </c>
      <c r="B86" s="26" t="s">
        <v>29</v>
      </c>
      <c r="C86" s="26" t="s">
        <v>28</v>
      </c>
      <c r="D86" s="27">
        <v>54</v>
      </c>
      <c r="E86" s="28">
        <v>36.85</v>
      </c>
      <c r="F86" s="28">
        <v>1989.9</v>
      </c>
      <c r="G86" s="28">
        <v>1166.5999999999999</v>
      </c>
      <c r="H86" s="28">
        <v>823.3</v>
      </c>
      <c r="I86" s="28">
        <v>116.15</v>
      </c>
      <c r="J86" s="28">
        <v>1873.75</v>
      </c>
    </row>
    <row r="87" spans="1:10" x14ac:dyDescent="0.25">
      <c r="A87" s="29" t="s">
        <v>35</v>
      </c>
      <c r="B87" s="29" t="s">
        <v>30</v>
      </c>
      <c r="C87" s="29" t="s">
        <v>24</v>
      </c>
      <c r="D87" s="30">
        <v>126</v>
      </c>
      <c r="E87" s="31">
        <v>140.94</v>
      </c>
      <c r="F87" s="31">
        <v>17758.439999999999</v>
      </c>
      <c r="G87" s="31">
        <v>9920.73</v>
      </c>
      <c r="H87" s="31">
        <v>7837.71</v>
      </c>
      <c r="I87" s="31">
        <v>901.7</v>
      </c>
      <c r="J87" s="31">
        <v>16856.740000000002</v>
      </c>
    </row>
    <row r="88" spans="1:10" x14ac:dyDescent="0.25">
      <c r="A88" s="26" t="s">
        <v>35</v>
      </c>
      <c r="B88" s="26" t="s">
        <v>30</v>
      </c>
      <c r="C88" s="26" t="s">
        <v>25</v>
      </c>
      <c r="D88" s="27">
        <v>125</v>
      </c>
      <c r="E88" s="28">
        <v>113.15</v>
      </c>
      <c r="F88" s="28">
        <v>14143.75</v>
      </c>
      <c r="G88" s="28">
        <v>5098.22</v>
      </c>
      <c r="H88" s="28">
        <v>9045.5300000000007</v>
      </c>
      <c r="I88" s="28">
        <v>502.47</v>
      </c>
      <c r="J88" s="28">
        <v>13641.28</v>
      </c>
    </row>
    <row r="89" spans="1:10" x14ac:dyDescent="0.25">
      <c r="A89" s="29" t="s">
        <v>35</v>
      </c>
      <c r="B89" s="29" t="s">
        <v>30</v>
      </c>
      <c r="C89" s="29" t="s">
        <v>26</v>
      </c>
      <c r="D89" s="30">
        <v>457</v>
      </c>
      <c r="E89" s="31">
        <v>243.33</v>
      </c>
      <c r="F89" s="31">
        <v>111201.81</v>
      </c>
      <c r="G89" s="31">
        <v>40029.730000000003</v>
      </c>
      <c r="H89" s="31">
        <v>71172.08</v>
      </c>
      <c r="I89" s="31">
        <v>3897.25</v>
      </c>
      <c r="J89" s="31">
        <v>107304.56</v>
      </c>
    </row>
    <row r="90" spans="1:10" x14ac:dyDescent="0.25">
      <c r="A90" s="26" t="s">
        <v>35</v>
      </c>
      <c r="B90" s="26" t="s">
        <v>30</v>
      </c>
      <c r="C90" s="26" t="s">
        <v>27</v>
      </c>
      <c r="D90" s="27">
        <v>399</v>
      </c>
      <c r="E90" s="28">
        <v>69.89</v>
      </c>
      <c r="F90" s="28">
        <v>27886.11</v>
      </c>
      <c r="G90" s="28">
        <v>10476.77</v>
      </c>
      <c r="H90" s="28">
        <v>17409.34</v>
      </c>
      <c r="I90" s="28">
        <v>1801.67</v>
      </c>
      <c r="J90" s="28">
        <v>26084.44</v>
      </c>
    </row>
    <row r="91" spans="1:10" x14ac:dyDescent="0.25">
      <c r="A91" s="29" t="s">
        <v>35</v>
      </c>
      <c r="B91" s="29" t="s">
        <v>30</v>
      </c>
      <c r="C91" s="29" t="s">
        <v>28</v>
      </c>
      <c r="D91" s="30">
        <v>497</v>
      </c>
      <c r="E91" s="31">
        <v>107.53</v>
      </c>
      <c r="F91" s="31">
        <v>53442.41</v>
      </c>
      <c r="G91" s="31">
        <v>26997.26</v>
      </c>
      <c r="H91" s="31">
        <v>26445.15</v>
      </c>
      <c r="I91" s="31">
        <v>1112.5999999999999</v>
      </c>
      <c r="J91" s="31">
        <v>52329.81</v>
      </c>
    </row>
    <row r="92" spans="1:10" x14ac:dyDescent="0.25">
      <c r="A92" s="26" t="s">
        <v>35</v>
      </c>
      <c r="B92" s="26" t="s">
        <v>31</v>
      </c>
      <c r="C92" s="26" t="s">
        <v>24</v>
      </c>
      <c r="D92" s="27">
        <v>171</v>
      </c>
      <c r="E92" s="28">
        <v>217.51</v>
      </c>
      <c r="F92" s="28">
        <v>37194.21</v>
      </c>
      <c r="G92" s="28">
        <v>22095.279999999999</v>
      </c>
      <c r="H92" s="28">
        <v>15098.93</v>
      </c>
      <c r="I92" s="28">
        <v>2482.86</v>
      </c>
      <c r="J92" s="28">
        <v>34711.35</v>
      </c>
    </row>
    <row r="93" spans="1:10" x14ac:dyDescent="0.25">
      <c r="A93" s="29" t="s">
        <v>35</v>
      </c>
      <c r="B93" s="29" t="s">
        <v>31</v>
      </c>
      <c r="C93" s="29" t="s">
        <v>25</v>
      </c>
      <c r="D93" s="30">
        <v>261</v>
      </c>
      <c r="E93" s="31">
        <v>15.95</v>
      </c>
      <c r="F93" s="31">
        <v>4162.95</v>
      </c>
      <c r="G93" s="31">
        <v>2223.6</v>
      </c>
      <c r="H93" s="31">
        <v>1939.35</v>
      </c>
      <c r="I93" s="31">
        <v>138.43</v>
      </c>
      <c r="J93" s="31">
        <v>4024.52</v>
      </c>
    </row>
    <row r="94" spans="1:10" x14ac:dyDescent="0.25">
      <c r="A94" s="26" t="s">
        <v>35</v>
      </c>
      <c r="B94" s="26" t="s">
        <v>31</v>
      </c>
      <c r="C94" s="26" t="s">
        <v>26</v>
      </c>
      <c r="D94" s="27">
        <v>260</v>
      </c>
      <c r="E94" s="28">
        <v>202.54</v>
      </c>
      <c r="F94" s="28">
        <v>52660.4</v>
      </c>
      <c r="G94" s="28">
        <v>29806.63</v>
      </c>
      <c r="H94" s="28">
        <v>22853.77</v>
      </c>
      <c r="I94" s="28">
        <v>3515.21</v>
      </c>
      <c r="J94" s="28">
        <v>49145.19</v>
      </c>
    </row>
    <row r="95" spans="1:10" x14ac:dyDescent="0.25">
      <c r="A95" s="29" t="s">
        <v>35</v>
      </c>
      <c r="B95" s="29" t="s">
        <v>31</v>
      </c>
      <c r="C95" s="29" t="s">
        <v>27</v>
      </c>
      <c r="D95" s="30">
        <v>186</v>
      </c>
      <c r="E95" s="31">
        <v>48.21</v>
      </c>
      <c r="F95" s="31">
        <v>8967.06</v>
      </c>
      <c r="G95" s="31">
        <v>4710.57</v>
      </c>
      <c r="H95" s="31">
        <v>4256.49</v>
      </c>
      <c r="I95" s="31">
        <v>329.79</v>
      </c>
      <c r="J95" s="31">
        <v>8637.27</v>
      </c>
    </row>
    <row r="96" spans="1:10" x14ac:dyDescent="0.25">
      <c r="A96" s="26" t="s">
        <v>35</v>
      </c>
      <c r="B96" s="26" t="s">
        <v>31</v>
      </c>
      <c r="C96" s="26" t="s">
        <v>28</v>
      </c>
      <c r="D96" s="27">
        <v>69</v>
      </c>
      <c r="E96" s="28">
        <v>216.06</v>
      </c>
      <c r="F96" s="28">
        <v>14908.14</v>
      </c>
      <c r="G96" s="28">
        <v>6046.87</v>
      </c>
      <c r="H96" s="28">
        <v>8861.27</v>
      </c>
      <c r="I96" s="28">
        <v>1001.25</v>
      </c>
      <c r="J96" s="28">
        <v>13906.89</v>
      </c>
    </row>
    <row r="97" spans="1:10" x14ac:dyDescent="0.25">
      <c r="A97" s="29" t="s">
        <v>35</v>
      </c>
      <c r="B97" s="29" t="s">
        <v>32</v>
      </c>
      <c r="C97" s="29" t="s">
        <v>24</v>
      </c>
      <c r="D97" s="30">
        <v>285</v>
      </c>
      <c r="E97" s="31">
        <v>93.92</v>
      </c>
      <c r="F97" s="31">
        <v>26767.200000000001</v>
      </c>
      <c r="G97" s="31">
        <v>14859.39</v>
      </c>
      <c r="H97" s="31">
        <v>11907.81</v>
      </c>
      <c r="I97" s="31">
        <v>1900.27</v>
      </c>
      <c r="J97" s="31">
        <v>24866.93</v>
      </c>
    </row>
    <row r="98" spans="1:10" x14ac:dyDescent="0.25">
      <c r="A98" s="26" t="s">
        <v>35</v>
      </c>
      <c r="B98" s="26" t="s">
        <v>32</v>
      </c>
      <c r="C98" s="26" t="s">
        <v>25</v>
      </c>
      <c r="D98" s="27">
        <v>164</v>
      </c>
      <c r="E98" s="28">
        <v>15.68</v>
      </c>
      <c r="F98" s="28">
        <v>2571.52</v>
      </c>
      <c r="G98" s="28">
        <v>1024.19</v>
      </c>
      <c r="H98" s="28">
        <v>1547.33</v>
      </c>
      <c r="I98" s="28">
        <v>84.8</v>
      </c>
      <c r="J98" s="28">
        <v>2486.7199999999998</v>
      </c>
    </row>
    <row r="99" spans="1:10" x14ac:dyDescent="0.25">
      <c r="A99" s="29" t="s">
        <v>35</v>
      </c>
      <c r="B99" s="29" t="s">
        <v>32</v>
      </c>
      <c r="C99" s="29" t="s">
        <v>26</v>
      </c>
      <c r="D99" s="30">
        <v>492</v>
      </c>
      <c r="E99" s="31">
        <v>26.66</v>
      </c>
      <c r="F99" s="31">
        <v>13116.72</v>
      </c>
      <c r="G99" s="31">
        <v>7126.73</v>
      </c>
      <c r="H99" s="31">
        <v>5989.99</v>
      </c>
      <c r="I99" s="31">
        <v>453.58</v>
      </c>
      <c r="J99" s="31">
        <v>12663.14</v>
      </c>
    </row>
    <row r="100" spans="1:10" x14ac:dyDescent="0.25">
      <c r="A100" s="26" t="s">
        <v>35</v>
      </c>
      <c r="B100" s="26" t="s">
        <v>32</v>
      </c>
      <c r="C100" s="26" t="s">
        <v>27</v>
      </c>
      <c r="D100" s="27">
        <v>310</v>
      </c>
      <c r="E100" s="28">
        <v>105.92</v>
      </c>
      <c r="F100" s="28">
        <v>32835.199999999997</v>
      </c>
      <c r="G100" s="28">
        <v>19546.38</v>
      </c>
      <c r="H100" s="28">
        <v>13288.82</v>
      </c>
      <c r="I100" s="28">
        <v>1560.82</v>
      </c>
      <c r="J100" s="28">
        <v>31274.38</v>
      </c>
    </row>
    <row r="101" spans="1:10" x14ac:dyDescent="0.25">
      <c r="A101" s="29" t="s">
        <v>35</v>
      </c>
      <c r="B101" s="29" t="s">
        <v>32</v>
      </c>
      <c r="C101" s="29" t="s">
        <v>28</v>
      </c>
      <c r="D101" s="30">
        <v>64</v>
      </c>
      <c r="E101" s="31">
        <v>37.68</v>
      </c>
      <c r="F101" s="31">
        <v>2411.52</v>
      </c>
      <c r="G101" s="31">
        <v>1429.07</v>
      </c>
      <c r="H101" s="31">
        <v>982.45</v>
      </c>
      <c r="I101" s="31">
        <v>54.26</v>
      </c>
      <c r="J101" s="31">
        <v>2357.2600000000002</v>
      </c>
    </row>
    <row r="102" spans="1:10" x14ac:dyDescent="0.25">
      <c r="A102" s="26" t="s">
        <v>36</v>
      </c>
      <c r="B102" s="26" t="s">
        <v>23</v>
      </c>
      <c r="C102" s="26" t="s">
        <v>24</v>
      </c>
      <c r="D102" s="27">
        <v>185</v>
      </c>
      <c r="E102" s="28">
        <v>19.18</v>
      </c>
      <c r="F102" s="28">
        <v>3548.3</v>
      </c>
      <c r="G102" s="28">
        <v>1771.11</v>
      </c>
      <c r="H102" s="28">
        <v>1777.19</v>
      </c>
      <c r="I102" s="28">
        <v>121.35</v>
      </c>
      <c r="J102" s="28">
        <v>3426.95</v>
      </c>
    </row>
    <row r="103" spans="1:10" x14ac:dyDescent="0.25">
      <c r="A103" s="29" t="s">
        <v>36</v>
      </c>
      <c r="B103" s="29" t="s">
        <v>23</v>
      </c>
      <c r="C103" s="29" t="s">
        <v>25</v>
      </c>
      <c r="D103" s="30">
        <v>452</v>
      </c>
      <c r="E103" s="31">
        <v>85.28</v>
      </c>
      <c r="F103" s="31">
        <v>38546.559999999998</v>
      </c>
      <c r="G103" s="31">
        <v>19333.11</v>
      </c>
      <c r="H103" s="31">
        <v>19213.45</v>
      </c>
      <c r="I103" s="31">
        <v>1765.42</v>
      </c>
      <c r="J103" s="31">
        <v>36781.14</v>
      </c>
    </row>
    <row r="104" spans="1:10" x14ac:dyDescent="0.25">
      <c r="A104" s="26" t="s">
        <v>36</v>
      </c>
      <c r="B104" s="26" t="s">
        <v>23</v>
      </c>
      <c r="C104" s="26" t="s">
        <v>26</v>
      </c>
      <c r="D104" s="27">
        <v>247</v>
      </c>
      <c r="E104" s="28">
        <v>225.88</v>
      </c>
      <c r="F104" s="28">
        <v>55792.36</v>
      </c>
      <c r="G104" s="28">
        <v>22178.560000000001</v>
      </c>
      <c r="H104" s="28">
        <v>33613.800000000003</v>
      </c>
      <c r="I104" s="28">
        <v>731.27</v>
      </c>
      <c r="J104" s="28">
        <v>55061.09</v>
      </c>
    </row>
    <row r="105" spans="1:10" x14ac:dyDescent="0.25">
      <c r="A105" s="29" t="s">
        <v>36</v>
      </c>
      <c r="B105" s="29" t="s">
        <v>23</v>
      </c>
      <c r="C105" s="29" t="s">
        <v>27</v>
      </c>
      <c r="D105" s="30">
        <v>273</v>
      </c>
      <c r="E105" s="31">
        <v>10.41</v>
      </c>
      <c r="F105" s="31">
        <v>2841.93</v>
      </c>
      <c r="G105" s="31">
        <v>1652.28</v>
      </c>
      <c r="H105" s="31">
        <v>1189.6500000000001</v>
      </c>
      <c r="I105" s="31">
        <v>135.54</v>
      </c>
      <c r="J105" s="31">
        <v>2706.39</v>
      </c>
    </row>
    <row r="106" spans="1:10" x14ac:dyDescent="0.25">
      <c r="A106" s="26" t="s">
        <v>36</v>
      </c>
      <c r="B106" s="26" t="s">
        <v>23</v>
      </c>
      <c r="C106" s="26" t="s">
        <v>28</v>
      </c>
      <c r="D106" s="27">
        <v>418</v>
      </c>
      <c r="E106" s="28">
        <v>235.66</v>
      </c>
      <c r="F106" s="28">
        <v>98505.88</v>
      </c>
      <c r="G106" s="28">
        <v>52627.69</v>
      </c>
      <c r="H106" s="28">
        <v>45878.19</v>
      </c>
      <c r="I106" s="28">
        <v>2343.6999999999998</v>
      </c>
      <c r="J106" s="28">
        <v>96162.18</v>
      </c>
    </row>
    <row r="107" spans="1:10" x14ac:dyDescent="0.25">
      <c r="A107" s="29" t="s">
        <v>36</v>
      </c>
      <c r="B107" s="29" t="s">
        <v>29</v>
      </c>
      <c r="C107" s="29" t="s">
        <v>24</v>
      </c>
      <c r="D107" s="30">
        <v>270</v>
      </c>
      <c r="E107" s="31">
        <v>26.79</v>
      </c>
      <c r="F107" s="31">
        <v>7233.3</v>
      </c>
      <c r="G107" s="31">
        <v>3732.81</v>
      </c>
      <c r="H107" s="31">
        <v>3500.49</v>
      </c>
      <c r="I107" s="31">
        <v>239.52</v>
      </c>
      <c r="J107" s="31">
        <v>6993.78</v>
      </c>
    </row>
    <row r="108" spans="1:10" x14ac:dyDescent="0.25">
      <c r="A108" s="26" t="s">
        <v>36</v>
      </c>
      <c r="B108" s="26" t="s">
        <v>29</v>
      </c>
      <c r="C108" s="26" t="s">
        <v>25</v>
      </c>
      <c r="D108" s="27">
        <v>210</v>
      </c>
      <c r="E108" s="28">
        <v>169.21</v>
      </c>
      <c r="F108" s="28">
        <v>35534.1</v>
      </c>
      <c r="G108" s="28">
        <v>13544.05</v>
      </c>
      <c r="H108" s="28">
        <v>21990.05</v>
      </c>
      <c r="I108" s="28">
        <v>2594.11</v>
      </c>
      <c r="J108" s="28">
        <v>32939.99</v>
      </c>
    </row>
    <row r="109" spans="1:10" x14ac:dyDescent="0.25">
      <c r="A109" s="29" t="s">
        <v>36</v>
      </c>
      <c r="B109" s="29" t="s">
        <v>29</v>
      </c>
      <c r="C109" s="29" t="s">
        <v>26</v>
      </c>
      <c r="D109" s="30">
        <v>309</v>
      </c>
      <c r="E109" s="31">
        <v>84.23</v>
      </c>
      <c r="F109" s="31">
        <v>26027.07</v>
      </c>
      <c r="G109" s="31">
        <v>11766.79</v>
      </c>
      <c r="H109" s="31">
        <v>14260.28</v>
      </c>
      <c r="I109" s="31">
        <v>993.4</v>
      </c>
      <c r="J109" s="31">
        <v>25033.67</v>
      </c>
    </row>
    <row r="110" spans="1:10" x14ac:dyDescent="0.25">
      <c r="A110" s="26" t="s">
        <v>36</v>
      </c>
      <c r="B110" s="26" t="s">
        <v>29</v>
      </c>
      <c r="C110" s="26" t="s">
        <v>27</v>
      </c>
      <c r="D110" s="27">
        <v>201</v>
      </c>
      <c r="E110" s="28">
        <v>143.06</v>
      </c>
      <c r="F110" s="28">
        <v>28755.06</v>
      </c>
      <c r="G110" s="28">
        <v>11443.36</v>
      </c>
      <c r="H110" s="28">
        <v>17311.7</v>
      </c>
      <c r="I110" s="28">
        <v>1625.96</v>
      </c>
      <c r="J110" s="28">
        <v>27129.1</v>
      </c>
    </row>
    <row r="111" spans="1:10" x14ac:dyDescent="0.25">
      <c r="A111" s="29" t="s">
        <v>36</v>
      </c>
      <c r="B111" s="29" t="s">
        <v>29</v>
      </c>
      <c r="C111" s="29" t="s">
        <v>28</v>
      </c>
      <c r="D111" s="30">
        <v>244</v>
      </c>
      <c r="E111" s="31">
        <v>172.56</v>
      </c>
      <c r="F111" s="31">
        <v>42104.639999999999</v>
      </c>
      <c r="G111" s="31">
        <v>24239.7</v>
      </c>
      <c r="H111" s="31">
        <v>17864.939999999999</v>
      </c>
      <c r="I111" s="31">
        <v>2235.17</v>
      </c>
      <c r="J111" s="31">
        <v>39869.47</v>
      </c>
    </row>
    <row r="112" spans="1:10" x14ac:dyDescent="0.25">
      <c r="A112" s="26" t="s">
        <v>36</v>
      </c>
      <c r="B112" s="26" t="s">
        <v>30</v>
      </c>
      <c r="C112" s="26" t="s">
        <v>24</v>
      </c>
      <c r="D112" s="27">
        <v>204</v>
      </c>
      <c r="E112" s="28">
        <v>107.46</v>
      </c>
      <c r="F112" s="28">
        <v>21921.84</v>
      </c>
      <c r="G112" s="28">
        <v>12241.84</v>
      </c>
      <c r="H112" s="28">
        <v>9680</v>
      </c>
      <c r="I112" s="28">
        <v>685.52</v>
      </c>
      <c r="J112" s="28">
        <v>21236.32</v>
      </c>
    </row>
    <row r="113" spans="1:10" x14ac:dyDescent="0.25">
      <c r="A113" s="29" t="s">
        <v>36</v>
      </c>
      <c r="B113" s="29" t="s">
        <v>30</v>
      </c>
      <c r="C113" s="29" t="s">
        <v>25</v>
      </c>
      <c r="D113" s="30">
        <v>157</v>
      </c>
      <c r="E113" s="31">
        <v>113.17</v>
      </c>
      <c r="F113" s="31">
        <v>17767.689999999999</v>
      </c>
      <c r="G113" s="31">
        <v>8794.94</v>
      </c>
      <c r="H113" s="31">
        <v>8972.75</v>
      </c>
      <c r="I113" s="31">
        <v>991.96</v>
      </c>
      <c r="J113" s="31">
        <v>16775.73</v>
      </c>
    </row>
    <row r="114" spans="1:10" x14ac:dyDescent="0.25">
      <c r="A114" s="26" t="s">
        <v>36</v>
      </c>
      <c r="B114" s="26" t="s">
        <v>30</v>
      </c>
      <c r="C114" s="26" t="s">
        <v>26</v>
      </c>
      <c r="D114" s="27">
        <v>288</v>
      </c>
      <c r="E114" s="28">
        <v>116.03</v>
      </c>
      <c r="F114" s="28">
        <v>33416.639999999999</v>
      </c>
      <c r="G114" s="28">
        <v>17340.12</v>
      </c>
      <c r="H114" s="28">
        <v>16076.52</v>
      </c>
      <c r="I114" s="28">
        <v>1529.89</v>
      </c>
      <c r="J114" s="28">
        <v>31886.75</v>
      </c>
    </row>
    <row r="115" spans="1:10" x14ac:dyDescent="0.25">
      <c r="A115" s="29" t="s">
        <v>36</v>
      </c>
      <c r="B115" s="29" t="s">
        <v>30</v>
      </c>
      <c r="C115" s="29" t="s">
        <v>27</v>
      </c>
      <c r="D115" s="30">
        <v>456</v>
      </c>
      <c r="E115" s="31">
        <v>226.28</v>
      </c>
      <c r="F115" s="31">
        <v>103183.67999999999</v>
      </c>
      <c r="G115" s="31">
        <v>56648.480000000003</v>
      </c>
      <c r="H115" s="31">
        <v>46535.199999999997</v>
      </c>
      <c r="I115" s="31">
        <v>2257.4899999999998</v>
      </c>
      <c r="J115" s="31">
        <v>100926.19</v>
      </c>
    </row>
    <row r="116" spans="1:10" x14ac:dyDescent="0.25">
      <c r="A116" s="26" t="s">
        <v>36</v>
      </c>
      <c r="B116" s="26" t="s">
        <v>30</v>
      </c>
      <c r="C116" s="26" t="s">
        <v>28</v>
      </c>
      <c r="D116" s="27">
        <v>93</v>
      </c>
      <c r="E116" s="28">
        <v>78.11</v>
      </c>
      <c r="F116" s="28">
        <v>7264.23</v>
      </c>
      <c r="G116" s="28">
        <v>3748.08</v>
      </c>
      <c r="H116" s="28">
        <v>3516.15</v>
      </c>
      <c r="I116" s="28">
        <v>387.53</v>
      </c>
      <c r="J116" s="28">
        <v>6876.7</v>
      </c>
    </row>
    <row r="117" spans="1:10" x14ac:dyDescent="0.25">
      <c r="A117" s="29" t="s">
        <v>36</v>
      </c>
      <c r="B117" s="29" t="s">
        <v>31</v>
      </c>
      <c r="C117" s="29" t="s">
        <v>24</v>
      </c>
      <c r="D117" s="30">
        <v>97</v>
      </c>
      <c r="E117" s="31">
        <v>206.42</v>
      </c>
      <c r="F117" s="31">
        <v>20022.740000000002</v>
      </c>
      <c r="G117" s="31">
        <v>10767.92</v>
      </c>
      <c r="H117" s="31">
        <v>9254.82</v>
      </c>
      <c r="I117" s="31">
        <v>1143.21</v>
      </c>
      <c r="J117" s="31">
        <v>18879.53</v>
      </c>
    </row>
    <row r="118" spans="1:10" x14ac:dyDescent="0.25">
      <c r="A118" s="26" t="s">
        <v>36</v>
      </c>
      <c r="B118" s="26" t="s">
        <v>31</v>
      </c>
      <c r="C118" s="26" t="s">
        <v>25</v>
      </c>
      <c r="D118" s="27">
        <v>165</v>
      </c>
      <c r="E118" s="28">
        <v>203.58</v>
      </c>
      <c r="F118" s="28">
        <v>33590.699999999997</v>
      </c>
      <c r="G118" s="28">
        <v>12994.18</v>
      </c>
      <c r="H118" s="28">
        <v>20596.52</v>
      </c>
      <c r="I118" s="28">
        <v>444.57</v>
      </c>
      <c r="J118" s="28">
        <v>33146.129999999997</v>
      </c>
    </row>
    <row r="119" spans="1:10" x14ac:dyDescent="0.25">
      <c r="A119" s="29" t="s">
        <v>36</v>
      </c>
      <c r="B119" s="29" t="s">
        <v>31</v>
      </c>
      <c r="C119" s="29" t="s">
        <v>26</v>
      </c>
      <c r="D119" s="30">
        <v>293</v>
      </c>
      <c r="E119" s="31">
        <v>156.71</v>
      </c>
      <c r="F119" s="31">
        <v>45916.03</v>
      </c>
      <c r="G119" s="31">
        <v>24892.11</v>
      </c>
      <c r="H119" s="31">
        <v>21023.919999999998</v>
      </c>
      <c r="I119" s="31">
        <v>1922.92</v>
      </c>
      <c r="J119" s="31">
        <v>43993.11</v>
      </c>
    </row>
    <row r="120" spans="1:10" x14ac:dyDescent="0.25">
      <c r="A120" s="26" t="s">
        <v>36</v>
      </c>
      <c r="B120" s="26" t="s">
        <v>31</v>
      </c>
      <c r="C120" s="26" t="s">
        <v>27</v>
      </c>
      <c r="D120" s="27">
        <v>372</v>
      </c>
      <c r="E120" s="28">
        <v>148.16</v>
      </c>
      <c r="F120" s="28">
        <v>55115.519999999997</v>
      </c>
      <c r="G120" s="28">
        <v>29188.43</v>
      </c>
      <c r="H120" s="28">
        <v>25927.09</v>
      </c>
      <c r="I120" s="28">
        <v>2032.58</v>
      </c>
      <c r="J120" s="28">
        <v>53082.94</v>
      </c>
    </row>
    <row r="121" spans="1:10" x14ac:dyDescent="0.25">
      <c r="A121" s="29" t="s">
        <v>36</v>
      </c>
      <c r="B121" s="29" t="s">
        <v>31</v>
      </c>
      <c r="C121" s="29" t="s">
        <v>28</v>
      </c>
      <c r="D121" s="30">
        <v>254</v>
      </c>
      <c r="E121" s="31">
        <v>68.56</v>
      </c>
      <c r="F121" s="31">
        <v>17414.240000000002</v>
      </c>
      <c r="G121" s="31">
        <v>8951.17</v>
      </c>
      <c r="H121" s="31">
        <v>8463.07</v>
      </c>
      <c r="I121" s="31">
        <v>180.9</v>
      </c>
      <c r="J121" s="31">
        <v>17233.34</v>
      </c>
    </row>
    <row r="122" spans="1:10" x14ac:dyDescent="0.25">
      <c r="A122" s="26" t="s">
        <v>36</v>
      </c>
      <c r="B122" s="26" t="s">
        <v>32</v>
      </c>
      <c r="C122" s="26" t="s">
        <v>24</v>
      </c>
      <c r="D122" s="27">
        <v>434</v>
      </c>
      <c r="E122" s="28">
        <v>216.51</v>
      </c>
      <c r="F122" s="28">
        <v>93965.34</v>
      </c>
      <c r="G122" s="28">
        <v>53688.63</v>
      </c>
      <c r="H122" s="28">
        <v>40276.71</v>
      </c>
      <c r="I122" s="28">
        <v>6059.77</v>
      </c>
      <c r="J122" s="28">
        <v>87905.57</v>
      </c>
    </row>
    <row r="123" spans="1:10" x14ac:dyDescent="0.25">
      <c r="A123" s="29" t="s">
        <v>36</v>
      </c>
      <c r="B123" s="29" t="s">
        <v>32</v>
      </c>
      <c r="C123" s="29" t="s">
        <v>25</v>
      </c>
      <c r="D123" s="30">
        <v>162</v>
      </c>
      <c r="E123" s="31">
        <v>52.21</v>
      </c>
      <c r="F123" s="31">
        <v>8458.02</v>
      </c>
      <c r="G123" s="31">
        <v>4985.93</v>
      </c>
      <c r="H123" s="31">
        <v>3472.09</v>
      </c>
      <c r="I123" s="31">
        <v>391.24</v>
      </c>
      <c r="J123" s="31">
        <v>8066.78</v>
      </c>
    </row>
    <row r="124" spans="1:10" x14ac:dyDescent="0.25">
      <c r="A124" s="26" t="s">
        <v>36</v>
      </c>
      <c r="B124" s="26" t="s">
        <v>32</v>
      </c>
      <c r="C124" s="26" t="s">
        <v>26</v>
      </c>
      <c r="D124" s="27">
        <v>75</v>
      </c>
      <c r="E124" s="28">
        <v>143.78</v>
      </c>
      <c r="F124" s="28">
        <v>10783.5</v>
      </c>
      <c r="G124" s="28">
        <v>6247.61</v>
      </c>
      <c r="H124" s="28">
        <v>4535.8900000000003</v>
      </c>
      <c r="I124" s="28">
        <v>199.44</v>
      </c>
      <c r="J124" s="28">
        <v>10584.06</v>
      </c>
    </row>
    <row r="125" spans="1:10" x14ac:dyDescent="0.25">
      <c r="A125" s="29" t="s">
        <v>36</v>
      </c>
      <c r="B125" s="29" t="s">
        <v>32</v>
      </c>
      <c r="C125" s="29" t="s">
        <v>27</v>
      </c>
      <c r="D125" s="30">
        <v>118</v>
      </c>
      <c r="E125" s="31">
        <v>202.34</v>
      </c>
      <c r="F125" s="31">
        <v>23876.12</v>
      </c>
      <c r="G125" s="31">
        <v>12341.43</v>
      </c>
      <c r="H125" s="31">
        <v>11534.69</v>
      </c>
      <c r="I125" s="31">
        <v>1889.85</v>
      </c>
      <c r="J125" s="31">
        <v>21986.27</v>
      </c>
    </row>
    <row r="126" spans="1:10" x14ac:dyDescent="0.25">
      <c r="A126" s="26" t="s">
        <v>36</v>
      </c>
      <c r="B126" s="26" t="s">
        <v>32</v>
      </c>
      <c r="C126" s="26" t="s">
        <v>28</v>
      </c>
      <c r="D126" s="27">
        <v>354</v>
      </c>
      <c r="E126" s="28">
        <v>86.15</v>
      </c>
      <c r="F126" s="28">
        <v>30497.1</v>
      </c>
      <c r="G126" s="28">
        <v>16432.22</v>
      </c>
      <c r="H126" s="28">
        <v>14064.88</v>
      </c>
      <c r="I126" s="28">
        <v>1249.78</v>
      </c>
      <c r="J126" s="28">
        <v>29247.32</v>
      </c>
    </row>
    <row r="127" spans="1:10" x14ac:dyDescent="0.25">
      <c r="A127" s="29" t="s">
        <v>37</v>
      </c>
      <c r="B127" s="29" t="s">
        <v>23</v>
      </c>
      <c r="C127" s="29" t="s">
        <v>24</v>
      </c>
      <c r="D127" s="30">
        <v>467</v>
      </c>
      <c r="E127" s="31">
        <v>182.63</v>
      </c>
      <c r="F127" s="31">
        <v>85288.21</v>
      </c>
      <c r="G127" s="31">
        <v>40613.78</v>
      </c>
      <c r="H127" s="31">
        <v>44674.43</v>
      </c>
      <c r="I127" s="31">
        <v>5811.53</v>
      </c>
      <c r="J127" s="31">
        <v>79476.679999999993</v>
      </c>
    </row>
    <row r="128" spans="1:10" x14ac:dyDescent="0.25">
      <c r="A128" s="26" t="s">
        <v>37</v>
      </c>
      <c r="B128" s="26" t="s">
        <v>23</v>
      </c>
      <c r="C128" s="26" t="s">
        <v>25</v>
      </c>
      <c r="D128" s="27">
        <v>330</v>
      </c>
      <c r="E128" s="28">
        <v>117.02</v>
      </c>
      <c r="F128" s="28">
        <v>38616.6</v>
      </c>
      <c r="G128" s="28">
        <v>15052.34</v>
      </c>
      <c r="H128" s="28">
        <v>23564.26</v>
      </c>
      <c r="I128" s="28">
        <v>2714.93</v>
      </c>
      <c r="J128" s="28">
        <v>35901.67</v>
      </c>
    </row>
    <row r="129" spans="1:10" x14ac:dyDescent="0.25">
      <c r="A129" s="29" t="s">
        <v>37</v>
      </c>
      <c r="B129" s="29" t="s">
        <v>23</v>
      </c>
      <c r="C129" s="29" t="s">
        <v>26</v>
      </c>
      <c r="D129" s="30">
        <v>280</v>
      </c>
      <c r="E129" s="31">
        <v>72.209999999999994</v>
      </c>
      <c r="F129" s="31">
        <v>20218.8</v>
      </c>
      <c r="G129" s="31">
        <v>8326.2999999999993</v>
      </c>
      <c r="H129" s="31">
        <v>11892.5</v>
      </c>
      <c r="I129" s="31">
        <v>1104.68</v>
      </c>
      <c r="J129" s="31">
        <v>19114.12</v>
      </c>
    </row>
    <row r="130" spans="1:10" x14ac:dyDescent="0.25">
      <c r="A130" s="26" t="s">
        <v>37</v>
      </c>
      <c r="B130" s="26" t="s">
        <v>23</v>
      </c>
      <c r="C130" s="26" t="s">
        <v>27</v>
      </c>
      <c r="D130" s="27">
        <v>442</v>
      </c>
      <c r="E130" s="28">
        <v>196.64</v>
      </c>
      <c r="F130" s="28">
        <v>86914.880000000005</v>
      </c>
      <c r="G130" s="28">
        <v>40949.879999999997</v>
      </c>
      <c r="H130" s="28">
        <v>45965</v>
      </c>
      <c r="I130" s="28">
        <v>2324.73</v>
      </c>
      <c r="J130" s="28">
        <v>84590.15</v>
      </c>
    </row>
    <row r="131" spans="1:10" x14ac:dyDescent="0.25">
      <c r="A131" s="29" t="s">
        <v>37</v>
      </c>
      <c r="B131" s="29" t="s">
        <v>23</v>
      </c>
      <c r="C131" s="29" t="s">
        <v>28</v>
      </c>
      <c r="D131" s="30">
        <v>275</v>
      </c>
      <c r="E131" s="31">
        <v>28.6</v>
      </c>
      <c r="F131" s="31">
        <v>7865</v>
      </c>
      <c r="G131" s="31">
        <v>3314.56</v>
      </c>
      <c r="H131" s="31">
        <v>4550.4399999999996</v>
      </c>
      <c r="I131" s="31">
        <v>228.24</v>
      </c>
      <c r="J131" s="31">
        <v>7636.76</v>
      </c>
    </row>
    <row r="132" spans="1:10" x14ac:dyDescent="0.25">
      <c r="A132" s="26" t="s">
        <v>37</v>
      </c>
      <c r="B132" s="26" t="s">
        <v>29</v>
      </c>
      <c r="C132" s="26" t="s">
        <v>24</v>
      </c>
      <c r="D132" s="27">
        <v>213</v>
      </c>
      <c r="E132" s="28">
        <v>224.33</v>
      </c>
      <c r="F132" s="28">
        <v>47782.29</v>
      </c>
      <c r="G132" s="28">
        <v>17686.349999999999</v>
      </c>
      <c r="H132" s="28">
        <v>30095.94</v>
      </c>
      <c r="I132" s="28">
        <v>982.32</v>
      </c>
      <c r="J132" s="28">
        <v>46799.97</v>
      </c>
    </row>
    <row r="133" spans="1:10" x14ac:dyDescent="0.25">
      <c r="A133" s="29" t="s">
        <v>37</v>
      </c>
      <c r="B133" s="29" t="s">
        <v>29</v>
      </c>
      <c r="C133" s="29" t="s">
        <v>25</v>
      </c>
      <c r="D133" s="30">
        <v>246</v>
      </c>
      <c r="E133" s="31">
        <v>176.55</v>
      </c>
      <c r="F133" s="31">
        <v>43431.3</v>
      </c>
      <c r="G133" s="31">
        <v>22871.13</v>
      </c>
      <c r="H133" s="31">
        <v>20560.169999999998</v>
      </c>
      <c r="I133" s="31">
        <v>629.58000000000004</v>
      </c>
      <c r="J133" s="31">
        <v>42801.72</v>
      </c>
    </row>
    <row r="134" spans="1:10" x14ac:dyDescent="0.25">
      <c r="A134" s="26" t="s">
        <v>37</v>
      </c>
      <c r="B134" s="26" t="s">
        <v>29</v>
      </c>
      <c r="C134" s="26" t="s">
        <v>26</v>
      </c>
      <c r="D134" s="27">
        <v>258</v>
      </c>
      <c r="E134" s="28">
        <v>89.41</v>
      </c>
      <c r="F134" s="28">
        <v>23067.78</v>
      </c>
      <c r="G134" s="28">
        <v>10760.68</v>
      </c>
      <c r="H134" s="28">
        <v>12307.1</v>
      </c>
      <c r="I134" s="28">
        <v>331.22</v>
      </c>
      <c r="J134" s="28">
        <v>22736.560000000001</v>
      </c>
    </row>
    <row r="135" spans="1:10" x14ac:dyDescent="0.25">
      <c r="A135" s="29" t="s">
        <v>37</v>
      </c>
      <c r="B135" s="29" t="s">
        <v>29</v>
      </c>
      <c r="C135" s="29" t="s">
        <v>27</v>
      </c>
      <c r="D135" s="30">
        <v>476</v>
      </c>
      <c r="E135" s="31">
        <v>110.83</v>
      </c>
      <c r="F135" s="31">
        <v>52755.08</v>
      </c>
      <c r="G135" s="31">
        <v>30397.98</v>
      </c>
      <c r="H135" s="31">
        <v>22357.1</v>
      </c>
      <c r="I135" s="31">
        <v>2684.47</v>
      </c>
      <c r="J135" s="31">
        <v>50070.61</v>
      </c>
    </row>
    <row r="136" spans="1:10" x14ac:dyDescent="0.25">
      <c r="A136" s="26" t="s">
        <v>37</v>
      </c>
      <c r="B136" s="26" t="s">
        <v>29</v>
      </c>
      <c r="C136" s="26" t="s">
        <v>28</v>
      </c>
      <c r="D136" s="27">
        <v>406</v>
      </c>
      <c r="E136" s="28">
        <v>14.69</v>
      </c>
      <c r="F136" s="28">
        <v>5964.14</v>
      </c>
      <c r="G136" s="28">
        <v>3400.54</v>
      </c>
      <c r="H136" s="28">
        <v>2563.6</v>
      </c>
      <c r="I136" s="28">
        <v>299.99</v>
      </c>
      <c r="J136" s="28">
        <v>5664.15</v>
      </c>
    </row>
    <row r="137" spans="1:10" x14ac:dyDescent="0.25">
      <c r="A137" s="29" t="s">
        <v>37</v>
      </c>
      <c r="B137" s="29" t="s">
        <v>30</v>
      </c>
      <c r="C137" s="29" t="s">
        <v>24</v>
      </c>
      <c r="D137" s="30">
        <v>294</v>
      </c>
      <c r="E137" s="31">
        <v>11.42</v>
      </c>
      <c r="F137" s="31">
        <v>3357.48</v>
      </c>
      <c r="G137" s="31">
        <v>1470.37</v>
      </c>
      <c r="H137" s="31">
        <v>1887.11</v>
      </c>
      <c r="I137" s="31">
        <v>210.66</v>
      </c>
      <c r="J137" s="31">
        <v>3146.82</v>
      </c>
    </row>
    <row r="138" spans="1:10" x14ac:dyDescent="0.25">
      <c r="A138" s="26" t="s">
        <v>37</v>
      </c>
      <c r="B138" s="26" t="s">
        <v>30</v>
      </c>
      <c r="C138" s="26" t="s">
        <v>25</v>
      </c>
      <c r="D138" s="27">
        <v>486</v>
      </c>
      <c r="E138" s="28">
        <v>223.99</v>
      </c>
      <c r="F138" s="28">
        <v>108859.14</v>
      </c>
      <c r="G138" s="28">
        <v>60844.88</v>
      </c>
      <c r="H138" s="28">
        <v>48014.26</v>
      </c>
      <c r="I138" s="28">
        <v>5189.91</v>
      </c>
      <c r="J138" s="28">
        <v>103669.23</v>
      </c>
    </row>
    <row r="139" spans="1:10" x14ac:dyDescent="0.25">
      <c r="A139" s="29" t="s">
        <v>37</v>
      </c>
      <c r="B139" s="29" t="s">
        <v>30</v>
      </c>
      <c r="C139" s="29" t="s">
        <v>26</v>
      </c>
      <c r="D139" s="30">
        <v>426</v>
      </c>
      <c r="E139" s="31">
        <v>141.07</v>
      </c>
      <c r="F139" s="31">
        <v>60095.82</v>
      </c>
      <c r="G139" s="31">
        <v>30096.78</v>
      </c>
      <c r="H139" s="31">
        <v>29999.040000000001</v>
      </c>
      <c r="I139" s="31">
        <v>1528.7</v>
      </c>
      <c r="J139" s="31">
        <v>58567.12</v>
      </c>
    </row>
    <row r="140" spans="1:10" x14ac:dyDescent="0.25">
      <c r="A140" s="26" t="s">
        <v>37</v>
      </c>
      <c r="B140" s="26" t="s">
        <v>30</v>
      </c>
      <c r="C140" s="26" t="s">
        <v>27</v>
      </c>
      <c r="D140" s="27">
        <v>162</v>
      </c>
      <c r="E140" s="28">
        <v>75.5</v>
      </c>
      <c r="F140" s="28">
        <v>12231</v>
      </c>
      <c r="G140" s="28">
        <v>5765.82</v>
      </c>
      <c r="H140" s="28">
        <v>6465.18</v>
      </c>
      <c r="I140" s="28">
        <v>455.24</v>
      </c>
      <c r="J140" s="28">
        <v>11775.76</v>
      </c>
    </row>
    <row r="141" spans="1:10" x14ac:dyDescent="0.25">
      <c r="A141" s="29" t="s">
        <v>37</v>
      </c>
      <c r="B141" s="29" t="s">
        <v>30</v>
      </c>
      <c r="C141" s="29" t="s">
        <v>28</v>
      </c>
      <c r="D141" s="30">
        <v>392</v>
      </c>
      <c r="E141" s="31">
        <v>172.99</v>
      </c>
      <c r="F141" s="31">
        <v>67812.08</v>
      </c>
      <c r="G141" s="31">
        <v>30588.62</v>
      </c>
      <c r="H141" s="31">
        <v>37223.46</v>
      </c>
      <c r="I141" s="31">
        <v>1461.56</v>
      </c>
      <c r="J141" s="31">
        <v>66350.52</v>
      </c>
    </row>
    <row r="142" spans="1:10" x14ac:dyDescent="0.25">
      <c r="A142" s="26" t="s">
        <v>37</v>
      </c>
      <c r="B142" s="26" t="s">
        <v>31</v>
      </c>
      <c r="C142" s="26" t="s">
        <v>24</v>
      </c>
      <c r="D142" s="27">
        <v>289</v>
      </c>
      <c r="E142" s="28">
        <v>230.69</v>
      </c>
      <c r="F142" s="28">
        <v>66669.41</v>
      </c>
      <c r="G142" s="28">
        <v>39680.33</v>
      </c>
      <c r="H142" s="28">
        <v>26989.08</v>
      </c>
      <c r="I142" s="28">
        <v>3159.37</v>
      </c>
      <c r="J142" s="28">
        <v>63510.04</v>
      </c>
    </row>
    <row r="143" spans="1:10" x14ac:dyDescent="0.25">
      <c r="A143" s="29" t="s">
        <v>37</v>
      </c>
      <c r="B143" s="29" t="s">
        <v>31</v>
      </c>
      <c r="C143" s="29" t="s">
        <v>25</v>
      </c>
      <c r="D143" s="30">
        <v>251</v>
      </c>
      <c r="E143" s="31">
        <v>152.05000000000001</v>
      </c>
      <c r="F143" s="31">
        <v>38164.550000000003</v>
      </c>
      <c r="G143" s="31">
        <v>19683.36</v>
      </c>
      <c r="H143" s="31">
        <v>18481.189999999999</v>
      </c>
      <c r="I143" s="31">
        <v>605.91</v>
      </c>
      <c r="J143" s="31">
        <v>37558.639999999999</v>
      </c>
    </row>
    <row r="144" spans="1:10" x14ac:dyDescent="0.25">
      <c r="A144" s="26" t="s">
        <v>37</v>
      </c>
      <c r="B144" s="26" t="s">
        <v>31</v>
      </c>
      <c r="C144" s="26" t="s">
        <v>26</v>
      </c>
      <c r="D144" s="27">
        <v>269</v>
      </c>
      <c r="E144" s="28">
        <v>42.57</v>
      </c>
      <c r="F144" s="28">
        <v>11451.33</v>
      </c>
      <c r="G144" s="28">
        <v>5329.73</v>
      </c>
      <c r="H144" s="28">
        <v>6121.6</v>
      </c>
      <c r="I144" s="28">
        <v>154.82</v>
      </c>
      <c r="J144" s="28">
        <v>11296.51</v>
      </c>
    </row>
    <row r="145" spans="1:10" x14ac:dyDescent="0.25">
      <c r="A145" s="29" t="s">
        <v>37</v>
      </c>
      <c r="B145" s="29" t="s">
        <v>31</v>
      </c>
      <c r="C145" s="29" t="s">
        <v>27</v>
      </c>
      <c r="D145" s="30">
        <v>244</v>
      </c>
      <c r="E145" s="31">
        <v>88.56</v>
      </c>
      <c r="F145" s="31">
        <v>21608.639999999999</v>
      </c>
      <c r="G145" s="31">
        <v>10019.379999999999</v>
      </c>
      <c r="H145" s="31">
        <v>11589.26</v>
      </c>
      <c r="I145" s="31">
        <v>726.59</v>
      </c>
      <c r="J145" s="31">
        <v>20882.05</v>
      </c>
    </row>
    <row r="146" spans="1:10" x14ac:dyDescent="0.25">
      <c r="A146" s="26" t="s">
        <v>37</v>
      </c>
      <c r="B146" s="26" t="s">
        <v>31</v>
      </c>
      <c r="C146" s="26" t="s">
        <v>28</v>
      </c>
      <c r="D146" s="27">
        <v>500</v>
      </c>
      <c r="E146" s="28">
        <v>100.99</v>
      </c>
      <c r="F146" s="28">
        <v>50495</v>
      </c>
      <c r="G146" s="28">
        <v>27166.43</v>
      </c>
      <c r="H146" s="28">
        <v>23328.57</v>
      </c>
      <c r="I146" s="28">
        <v>3445.51</v>
      </c>
      <c r="J146" s="28">
        <v>47049.49</v>
      </c>
    </row>
    <row r="147" spans="1:10" x14ac:dyDescent="0.25">
      <c r="A147" s="29" t="s">
        <v>37</v>
      </c>
      <c r="B147" s="29" t="s">
        <v>32</v>
      </c>
      <c r="C147" s="29" t="s">
        <v>24</v>
      </c>
      <c r="D147" s="30">
        <v>179</v>
      </c>
      <c r="E147" s="31">
        <v>210.38</v>
      </c>
      <c r="F147" s="31">
        <v>37658.019999999997</v>
      </c>
      <c r="G147" s="31">
        <v>17608.009999999998</v>
      </c>
      <c r="H147" s="31">
        <v>20050.009999999998</v>
      </c>
      <c r="I147" s="31">
        <v>2351.0500000000002</v>
      </c>
      <c r="J147" s="31">
        <v>35306.97</v>
      </c>
    </row>
    <row r="148" spans="1:10" x14ac:dyDescent="0.25">
      <c r="A148" s="26" t="s">
        <v>37</v>
      </c>
      <c r="B148" s="26" t="s">
        <v>32</v>
      </c>
      <c r="C148" s="26" t="s">
        <v>25</v>
      </c>
      <c r="D148" s="27">
        <v>76</v>
      </c>
      <c r="E148" s="28">
        <v>249.98</v>
      </c>
      <c r="F148" s="28">
        <v>18998.48</v>
      </c>
      <c r="G148" s="28">
        <v>8311.65</v>
      </c>
      <c r="H148" s="28">
        <v>10686.83</v>
      </c>
      <c r="I148" s="28">
        <v>1054.6099999999999</v>
      </c>
      <c r="J148" s="28">
        <v>17943.87</v>
      </c>
    </row>
    <row r="149" spans="1:10" x14ac:dyDescent="0.25">
      <c r="A149" s="29" t="s">
        <v>37</v>
      </c>
      <c r="B149" s="29" t="s">
        <v>32</v>
      </c>
      <c r="C149" s="29" t="s">
        <v>26</v>
      </c>
      <c r="D149" s="30">
        <v>449</v>
      </c>
      <c r="E149" s="31">
        <v>239.75</v>
      </c>
      <c r="F149" s="31">
        <v>107647.75</v>
      </c>
      <c r="G149" s="31">
        <v>38760.14</v>
      </c>
      <c r="H149" s="31">
        <v>68887.61</v>
      </c>
      <c r="I149" s="31">
        <v>1310.3</v>
      </c>
      <c r="J149" s="31">
        <v>106337.45</v>
      </c>
    </row>
    <row r="150" spans="1:10" x14ac:dyDescent="0.25">
      <c r="A150" s="26" t="s">
        <v>37</v>
      </c>
      <c r="B150" s="26" t="s">
        <v>32</v>
      </c>
      <c r="C150" s="26" t="s">
        <v>27</v>
      </c>
      <c r="D150" s="27">
        <v>176</v>
      </c>
      <c r="E150" s="28">
        <v>57.85</v>
      </c>
      <c r="F150" s="28">
        <v>10181.6</v>
      </c>
      <c r="G150" s="28">
        <v>3615.44</v>
      </c>
      <c r="H150" s="28">
        <v>6566.16</v>
      </c>
      <c r="I150" s="28">
        <v>210.42</v>
      </c>
      <c r="J150" s="28">
        <v>9971.18</v>
      </c>
    </row>
    <row r="151" spans="1:10" x14ac:dyDescent="0.25">
      <c r="A151" s="29" t="s">
        <v>37</v>
      </c>
      <c r="B151" s="29" t="s">
        <v>32</v>
      </c>
      <c r="C151" s="29" t="s">
        <v>28</v>
      </c>
      <c r="D151" s="30">
        <v>114</v>
      </c>
      <c r="E151" s="31">
        <v>123.65</v>
      </c>
      <c r="F151" s="31">
        <v>14096.1</v>
      </c>
      <c r="G151" s="31">
        <v>5336.75</v>
      </c>
      <c r="H151" s="31">
        <v>8759.35</v>
      </c>
      <c r="I151" s="31">
        <v>1076.1400000000001</v>
      </c>
      <c r="J151" s="31">
        <v>13019.96</v>
      </c>
    </row>
    <row r="152" spans="1:10" x14ac:dyDescent="0.25">
      <c r="A152" s="26" t="s">
        <v>38</v>
      </c>
      <c r="B152" s="26" t="s">
        <v>23</v>
      </c>
      <c r="C152" s="26" t="s">
        <v>24</v>
      </c>
      <c r="D152" s="27">
        <v>288</v>
      </c>
      <c r="E152" s="28">
        <v>177.87</v>
      </c>
      <c r="F152" s="28">
        <v>51226.559999999998</v>
      </c>
      <c r="G152" s="28">
        <v>27750.68</v>
      </c>
      <c r="H152" s="28">
        <v>23475.88</v>
      </c>
      <c r="I152" s="28">
        <v>1113.93</v>
      </c>
      <c r="J152" s="28">
        <v>50112.63</v>
      </c>
    </row>
    <row r="153" spans="1:10" x14ac:dyDescent="0.25">
      <c r="A153" s="29" t="s">
        <v>38</v>
      </c>
      <c r="B153" s="29" t="s">
        <v>23</v>
      </c>
      <c r="C153" s="29" t="s">
        <v>25</v>
      </c>
      <c r="D153" s="30">
        <v>360</v>
      </c>
      <c r="E153" s="31">
        <v>241.3</v>
      </c>
      <c r="F153" s="31">
        <v>86868</v>
      </c>
      <c r="G153" s="31">
        <v>46004.36</v>
      </c>
      <c r="H153" s="31">
        <v>40863.64</v>
      </c>
      <c r="I153" s="31">
        <v>5598.25</v>
      </c>
      <c r="J153" s="31">
        <v>81269.75</v>
      </c>
    </row>
    <row r="154" spans="1:10" x14ac:dyDescent="0.25">
      <c r="A154" s="26" t="s">
        <v>38</v>
      </c>
      <c r="B154" s="26" t="s">
        <v>23</v>
      </c>
      <c r="C154" s="26" t="s">
        <v>26</v>
      </c>
      <c r="D154" s="27">
        <v>133</v>
      </c>
      <c r="E154" s="28">
        <v>241.53</v>
      </c>
      <c r="F154" s="28">
        <v>32123.49</v>
      </c>
      <c r="G154" s="28">
        <v>12111.35</v>
      </c>
      <c r="H154" s="28">
        <v>20012.14</v>
      </c>
      <c r="I154" s="28">
        <v>378.98</v>
      </c>
      <c r="J154" s="28">
        <v>31744.51</v>
      </c>
    </row>
    <row r="155" spans="1:10" x14ac:dyDescent="0.25">
      <c r="A155" s="29" t="s">
        <v>38</v>
      </c>
      <c r="B155" s="29" t="s">
        <v>23</v>
      </c>
      <c r="C155" s="29" t="s">
        <v>27</v>
      </c>
      <c r="D155" s="30">
        <v>209</v>
      </c>
      <c r="E155" s="31">
        <v>148.19</v>
      </c>
      <c r="F155" s="31">
        <v>30971.71</v>
      </c>
      <c r="G155" s="31">
        <v>17870.88</v>
      </c>
      <c r="H155" s="31">
        <v>13100.83</v>
      </c>
      <c r="I155" s="31">
        <v>1123.3900000000001</v>
      </c>
      <c r="J155" s="31">
        <v>29848.32</v>
      </c>
    </row>
    <row r="156" spans="1:10" x14ac:dyDescent="0.25">
      <c r="A156" s="26" t="s">
        <v>38</v>
      </c>
      <c r="B156" s="26" t="s">
        <v>23</v>
      </c>
      <c r="C156" s="26" t="s">
        <v>28</v>
      </c>
      <c r="D156" s="27">
        <v>416</v>
      </c>
      <c r="E156" s="28">
        <v>57.6</v>
      </c>
      <c r="F156" s="28">
        <v>23961.599999999999</v>
      </c>
      <c r="G156" s="28">
        <v>11933.46</v>
      </c>
      <c r="H156" s="28">
        <v>12028.14</v>
      </c>
      <c r="I156" s="28">
        <v>1632.74</v>
      </c>
      <c r="J156" s="28">
        <v>22328.86</v>
      </c>
    </row>
    <row r="157" spans="1:10" x14ac:dyDescent="0.25">
      <c r="A157" s="29" t="s">
        <v>38</v>
      </c>
      <c r="B157" s="29" t="s">
        <v>29</v>
      </c>
      <c r="C157" s="29" t="s">
        <v>24</v>
      </c>
      <c r="D157" s="30">
        <v>174</v>
      </c>
      <c r="E157" s="31">
        <v>34.46</v>
      </c>
      <c r="F157" s="31">
        <v>5996.04</v>
      </c>
      <c r="G157" s="31">
        <v>3256.57</v>
      </c>
      <c r="H157" s="31">
        <v>2739.47</v>
      </c>
      <c r="I157" s="31">
        <v>416.85</v>
      </c>
      <c r="J157" s="31">
        <v>5579.19</v>
      </c>
    </row>
    <row r="158" spans="1:10" x14ac:dyDescent="0.25">
      <c r="A158" s="26" t="s">
        <v>38</v>
      </c>
      <c r="B158" s="26" t="s">
        <v>29</v>
      </c>
      <c r="C158" s="26" t="s">
        <v>25</v>
      </c>
      <c r="D158" s="27">
        <v>357</v>
      </c>
      <c r="E158" s="28">
        <v>203.33</v>
      </c>
      <c r="F158" s="28">
        <v>72588.81</v>
      </c>
      <c r="G158" s="28">
        <v>39855.379999999997</v>
      </c>
      <c r="H158" s="28">
        <v>32733.43</v>
      </c>
      <c r="I158" s="28">
        <v>3601.51</v>
      </c>
      <c r="J158" s="28">
        <v>68987.3</v>
      </c>
    </row>
    <row r="159" spans="1:10" x14ac:dyDescent="0.25">
      <c r="A159" s="29" t="s">
        <v>38</v>
      </c>
      <c r="B159" s="29" t="s">
        <v>29</v>
      </c>
      <c r="C159" s="29" t="s">
        <v>26</v>
      </c>
      <c r="D159" s="30">
        <v>71</v>
      </c>
      <c r="E159" s="31">
        <v>93.33</v>
      </c>
      <c r="F159" s="31">
        <v>6626.43</v>
      </c>
      <c r="G159" s="31">
        <v>3028.9</v>
      </c>
      <c r="H159" s="31">
        <v>3597.53</v>
      </c>
      <c r="I159" s="31">
        <v>238.15</v>
      </c>
      <c r="J159" s="31">
        <v>6388.28</v>
      </c>
    </row>
    <row r="160" spans="1:10" x14ac:dyDescent="0.25">
      <c r="A160" s="26" t="s">
        <v>38</v>
      </c>
      <c r="B160" s="26" t="s">
        <v>29</v>
      </c>
      <c r="C160" s="26" t="s">
        <v>27</v>
      </c>
      <c r="D160" s="27">
        <v>309</v>
      </c>
      <c r="E160" s="28">
        <v>165.41</v>
      </c>
      <c r="F160" s="28">
        <v>51111.69</v>
      </c>
      <c r="G160" s="28">
        <v>18050.759999999998</v>
      </c>
      <c r="H160" s="28">
        <v>33060.93</v>
      </c>
      <c r="I160" s="28">
        <v>2014.01</v>
      </c>
      <c r="J160" s="28">
        <v>49097.68</v>
      </c>
    </row>
    <row r="161" spans="1:10" x14ac:dyDescent="0.25">
      <c r="A161" s="29" t="s">
        <v>38</v>
      </c>
      <c r="B161" s="29" t="s">
        <v>29</v>
      </c>
      <c r="C161" s="29" t="s">
        <v>28</v>
      </c>
      <c r="D161" s="30">
        <v>300</v>
      </c>
      <c r="E161" s="31">
        <v>35.33</v>
      </c>
      <c r="F161" s="31">
        <v>10599</v>
      </c>
      <c r="G161" s="31">
        <v>6255.5</v>
      </c>
      <c r="H161" s="31">
        <v>4343.5</v>
      </c>
      <c r="I161" s="31">
        <v>577.54999999999995</v>
      </c>
      <c r="J161" s="31">
        <v>10021.450000000001</v>
      </c>
    </row>
    <row r="162" spans="1:10" x14ac:dyDescent="0.25">
      <c r="A162" s="26" t="s">
        <v>38</v>
      </c>
      <c r="B162" s="26" t="s">
        <v>30</v>
      </c>
      <c r="C162" s="26" t="s">
        <v>24</v>
      </c>
      <c r="D162" s="27">
        <v>474</v>
      </c>
      <c r="E162" s="28">
        <v>120.34</v>
      </c>
      <c r="F162" s="28">
        <v>57041.16</v>
      </c>
      <c r="G162" s="28">
        <v>22146.1</v>
      </c>
      <c r="H162" s="28">
        <v>34895.06</v>
      </c>
      <c r="I162" s="28">
        <v>1273.71</v>
      </c>
      <c r="J162" s="28">
        <v>55767.45</v>
      </c>
    </row>
    <row r="163" spans="1:10" x14ac:dyDescent="0.25">
      <c r="A163" s="29" t="s">
        <v>38</v>
      </c>
      <c r="B163" s="29" t="s">
        <v>30</v>
      </c>
      <c r="C163" s="29" t="s">
        <v>25</v>
      </c>
      <c r="D163" s="30">
        <v>317</v>
      </c>
      <c r="E163" s="31">
        <v>241.71</v>
      </c>
      <c r="F163" s="31">
        <v>76622.070000000007</v>
      </c>
      <c r="G163" s="31">
        <v>31991.29</v>
      </c>
      <c r="H163" s="31">
        <v>44630.78</v>
      </c>
      <c r="I163" s="31">
        <v>5101.03</v>
      </c>
      <c r="J163" s="31">
        <v>71521.039999999994</v>
      </c>
    </row>
    <row r="164" spans="1:10" x14ac:dyDescent="0.25">
      <c r="A164" s="26" t="s">
        <v>38</v>
      </c>
      <c r="B164" s="26" t="s">
        <v>30</v>
      </c>
      <c r="C164" s="26" t="s">
        <v>26</v>
      </c>
      <c r="D164" s="27">
        <v>325</v>
      </c>
      <c r="E164" s="28">
        <v>195.91</v>
      </c>
      <c r="F164" s="28">
        <v>63670.75</v>
      </c>
      <c r="G164" s="28">
        <v>29684.48</v>
      </c>
      <c r="H164" s="28">
        <v>33986.269999999997</v>
      </c>
      <c r="I164" s="28">
        <v>4316.97</v>
      </c>
      <c r="J164" s="28">
        <v>59353.78</v>
      </c>
    </row>
    <row r="165" spans="1:10" x14ac:dyDescent="0.25">
      <c r="A165" s="29" t="s">
        <v>38</v>
      </c>
      <c r="B165" s="29" t="s">
        <v>30</v>
      </c>
      <c r="C165" s="29" t="s">
        <v>27</v>
      </c>
      <c r="D165" s="30">
        <v>353</v>
      </c>
      <c r="E165" s="31">
        <v>74.41</v>
      </c>
      <c r="F165" s="31">
        <v>26266.73</v>
      </c>
      <c r="G165" s="31">
        <v>14786.29</v>
      </c>
      <c r="H165" s="31">
        <v>11480.44</v>
      </c>
      <c r="I165" s="31">
        <v>1790.11</v>
      </c>
      <c r="J165" s="31">
        <v>24476.62</v>
      </c>
    </row>
    <row r="166" spans="1:10" x14ac:dyDescent="0.25">
      <c r="A166" s="26" t="s">
        <v>38</v>
      </c>
      <c r="B166" s="26" t="s">
        <v>30</v>
      </c>
      <c r="C166" s="26" t="s">
        <v>28</v>
      </c>
      <c r="D166" s="27">
        <v>94</v>
      </c>
      <c r="E166" s="28">
        <v>76.94</v>
      </c>
      <c r="F166" s="28">
        <v>7232.36</v>
      </c>
      <c r="G166" s="28">
        <v>3346.42</v>
      </c>
      <c r="H166" s="28">
        <v>3885.94</v>
      </c>
      <c r="I166" s="28">
        <v>452.26</v>
      </c>
      <c r="J166" s="28">
        <v>6780.1</v>
      </c>
    </row>
    <row r="167" spans="1:10" x14ac:dyDescent="0.25">
      <c r="A167" s="29" t="s">
        <v>38</v>
      </c>
      <c r="B167" s="29" t="s">
        <v>31</v>
      </c>
      <c r="C167" s="29" t="s">
        <v>24</v>
      </c>
      <c r="D167" s="30">
        <v>341</v>
      </c>
      <c r="E167" s="31">
        <v>156.47999999999999</v>
      </c>
      <c r="F167" s="31">
        <v>53359.68</v>
      </c>
      <c r="G167" s="31">
        <v>23731.57</v>
      </c>
      <c r="H167" s="31">
        <v>29628.11</v>
      </c>
      <c r="I167" s="31">
        <v>640.79999999999995</v>
      </c>
      <c r="J167" s="31">
        <v>52718.879999999997</v>
      </c>
    </row>
    <row r="168" spans="1:10" x14ac:dyDescent="0.25">
      <c r="A168" s="26" t="s">
        <v>38</v>
      </c>
      <c r="B168" s="26" t="s">
        <v>31</v>
      </c>
      <c r="C168" s="26" t="s">
        <v>25</v>
      </c>
      <c r="D168" s="27">
        <v>485</v>
      </c>
      <c r="E168" s="28">
        <v>88</v>
      </c>
      <c r="F168" s="28">
        <v>42680</v>
      </c>
      <c r="G168" s="28">
        <v>20140.16</v>
      </c>
      <c r="H168" s="28">
        <v>22539.84</v>
      </c>
      <c r="I168" s="28">
        <v>1486.88</v>
      </c>
      <c r="J168" s="28">
        <v>41193.120000000003</v>
      </c>
    </row>
    <row r="169" spans="1:10" x14ac:dyDescent="0.25">
      <c r="A169" s="29" t="s">
        <v>38</v>
      </c>
      <c r="B169" s="29" t="s">
        <v>31</v>
      </c>
      <c r="C169" s="29" t="s">
        <v>26</v>
      </c>
      <c r="D169" s="30">
        <v>182</v>
      </c>
      <c r="E169" s="31">
        <v>91.68</v>
      </c>
      <c r="F169" s="31">
        <v>16685.759999999998</v>
      </c>
      <c r="G169" s="31">
        <v>9512.2199999999993</v>
      </c>
      <c r="H169" s="31">
        <v>7173.54</v>
      </c>
      <c r="I169" s="31">
        <v>985.84</v>
      </c>
      <c r="J169" s="31">
        <v>15699.92</v>
      </c>
    </row>
    <row r="170" spans="1:10" x14ac:dyDescent="0.25">
      <c r="A170" s="26" t="s">
        <v>38</v>
      </c>
      <c r="B170" s="26" t="s">
        <v>31</v>
      </c>
      <c r="C170" s="26" t="s">
        <v>27</v>
      </c>
      <c r="D170" s="27">
        <v>191</v>
      </c>
      <c r="E170" s="28">
        <v>143.38999999999999</v>
      </c>
      <c r="F170" s="28">
        <v>27387.49</v>
      </c>
      <c r="G170" s="28">
        <v>13122.9</v>
      </c>
      <c r="H170" s="28">
        <v>14264.59</v>
      </c>
      <c r="I170" s="28">
        <v>640.15</v>
      </c>
      <c r="J170" s="28">
        <v>26747.34</v>
      </c>
    </row>
    <row r="171" spans="1:10" x14ac:dyDescent="0.25">
      <c r="A171" s="29" t="s">
        <v>38</v>
      </c>
      <c r="B171" s="29" t="s">
        <v>31</v>
      </c>
      <c r="C171" s="29" t="s">
        <v>28</v>
      </c>
      <c r="D171" s="30">
        <v>173</v>
      </c>
      <c r="E171" s="31">
        <v>182.82</v>
      </c>
      <c r="F171" s="31">
        <v>31627.86</v>
      </c>
      <c r="G171" s="31">
        <v>14932.92</v>
      </c>
      <c r="H171" s="31">
        <v>16694.939999999999</v>
      </c>
      <c r="I171" s="31">
        <v>1994.82</v>
      </c>
      <c r="J171" s="31">
        <v>29633.040000000001</v>
      </c>
    </row>
    <row r="172" spans="1:10" x14ac:dyDescent="0.25">
      <c r="A172" s="26" t="s">
        <v>38</v>
      </c>
      <c r="B172" s="26" t="s">
        <v>32</v>
      </c>
      <c r="C172" s="26" t="s">
        <v>24</v>
      </c>
      <c r="D172" s="27">
        <v>403</v>
      </c>
      <c r="E172" s="28">
        <v>124.26</v>
      </c>
      <c r="F172" s="28">
        <v>50076.78</v>
      </c>
      <c r="G172" s="28">
        <v>26438.57</v>
      </c>
      <c r="H172" s="28">
        <v>23638.21</v>
      </c>
      <c r="I172" s="28">
        <v>2071.79</v>
      </c>
      <c r="J172" s="28">
        <v>48004.99</v>
      </c>
    </row>
    <row r="173" spans="1:10" x14ac:dyDescent="0.25">
      <c r="A173" s="29" t="s">
        <v>38</v>
      </c>
      <c r="B173" s="29" t="s">
        <v>32</v>
      </c>
      <c r="C173" s="29" t="s">
        <v>25</v>
      </c>
      <c r="D173" s="30">
        <v>58</v>
      </c>
      <c r="E173" s="31">
        <v>32.33</v>
      </c>
      <c r="F173" s="31">
        <v>1875.14</v>
      </c>
      <c r="G173" s="31">
        <v>760.18</v>
      </c>
      <c r="H173" s="31">
        <v>1114.96</v>
      </c>
      <c r="I173" s="31">
        <v>109.56</v>
      </c>
      <c r="J173" s="31">
        <v>1765.58</v>
      </c>
    </row>
    <row r="174" spans="1:10" x14ac:dyDescent="0.25">
      <c r="A174" s="26" t="s">
        <v>38</v>
      </c>
      <c r="B174" s="26" t="s">
        <v>32</v>
      </c>
      <c r="C174" s="26" t="s">
        <v>26</v>
      </c>
      <c r="D174" s="27">
        <v>206</v>
      </c>
      <c r="E174" s="28">
        <v>169.35</v>
      </c>
      <c r="F174" s="28">
        <v>34886.1</v>
      </c>
      <c r="G174" s="28">
        <v>15428.56</v>
      </c>
      <c r="H174" s="28">
        <v>19457.54</v>
      </c>
      <c r="I174" s="28">
        <v>1700.46</v>
      </c>
      <c r="J174" s="28">
        <v>33185.64</v>
      </c>
    </row>
    <row r="175" spans="1:10" x14ac:dyDescent="0.25">
      <c r="A175" s="29" t="s">
        <v>38</v>
      </c>
      <c r="B175" s="29" t="s">
        <v>32</v>
      </c>
      <c r="C175" s="29" t="s">
        <v>27</v>
      </c>
      <c r="D175" s="30">
        <v>226</v>
      </c>
      <c r="E175" s="31">
        <v>112.12</v>
      </c>
      <c r="F175" s="31">
        <v>25339.119999999999</v>
      </c>
      <c r="G175" s="31">
        <v>13594.03</v>
      </c>
      <c r="H175" s="31">
        <v>11745.09</v>
      </c>
      <c r="I175" s="31">
        <v>840.13</v>
      </c>
      <c r="J175" s="31">
        <v>24498.99</v>
      </c>
    </row>
    <row r="176" spans="1:10" x14ac:dyDescent="0.25">
      <c r="A176" s="26" t="s">
        <v>38</v>
      </c>
      <c r="B176" s="26" t="s">
        <v>32</v>
      </c>
      <c r="C176" s="26" t="s">
        <v>28</v>
      </c>
      <c r="D176" s="27">
        <v>409</v>
      </c>
      <c r="E176" s="28">
        <v>118.9</v>
      </c>
      <c r="F176" s="28">
        <v>48630.1</v>
      </c>
      <c r="G176" s="28">
        <v>20748.310000000001</v>
      </c>
      <c r="H176" s="28">
        <v>27881.79</v>
      </c>
      <c r="I176" s="28">
        <v>1271.08</v>
      </c>
      <c r="J176" s="28">
        <v>47359.02</v>
      </c>
    </row>
    <row r="177" spans="1:10" x14ac:dyDescent="0.25">
      <c r="A177" s="29" t="s">
        <v>39</v>
      </c>
      <c r="B177" s="29" t="s">
        <v>23</v>
      </c>
      <c r="C177" s="29" t="s">
        <v>24</v>
      </c>
      <c r="D177" s="30">
        <v>419</v>
      </c>
      <c r="E177" s="31">
        <v>56.22</v>
      </c>
      <c r="F177" s="31">
        <v>23556.18</v>
      </c>
      <c r="G177" s="31">
        <v>8948.73</v>
      </c>
      <c r="H177" s="31">
        <v>14607.45</v>
      </c>
      <c r="I177" s="31">
        <v>1119.17</v>
      </c>
      <c r="J177" s="31">
        <v>22437.01</v>
      </c>
    </row>
    <row r="178" spans="1:10" x14ac:dyDescent="0.25">
      <c r="A178" s="26" t="s">
        <v>39</v>
      </c>
      <c r="B178" s="26" t="s">
        <v>23</v>
      </c>
      <c r="C178" s="26" t="s">
        <v>25</v>
      </c>
      <c r="D178" s="27">
        <v>440</v>
      </c>
      <c r="E178" s="28">
        <v>175.64</v>
      </c>
      <c r="F178" s="28">
        <v>77281.600000000006</v>
      </c>
      <c r="G178" s="28">
        <v>30749.21</v>
      </c>
      <c r="H178" s="28">
        <v>46532.39</v>
      </c>
      <c r="I178" s="28">
        <v>4768.45</v>
      </c>
      <c r="J178" s="28">
        <v>72513.149999999994</v>
      </c>
    </row>
    <row r="179" spans="1:10" x14ac:dyDescent="0.25">
      <c r="A179" s="29" t="s">
        <v>39</v>
      </c>
      <c r="B179" s="29" t="s">
        <v>23</v>
      </c>
      <c r="C179" s="29" t="s">
        <v>26</v>
      </c>
      <c r="D179" s="30">
        <v>191</v>
      </c>
      <c r="E179" s="31">
        <v>183.9</v>
      </c>
      <c r="F179" s="31">
        <v>35124.9</v>
      </c>
      <c r="G179" s="31">
        <v>20869.52</v>
      </c>
      <c r="H179" s="31">
        <v>14255.38</v>
      </c>
      <c r="I179" s="31">
        <v>1641.2</v>
      </c>
      <c r="J179" s="31">
        <v>33483.699999999997</v>
      </c>
    </row>
    <row r="180" spans="1:10" x14ac:dyDescent="0.25">
      <c r="A180" s="26" t="s">
        <v>39</v>
      </c>
      <c r="B180" s="26" t="s">
        <v>23</v>
      </c>
      <c r="C180" s="26" t="s">
        <v>27</v>
      </c>
      <c r="D180" s="27">
        <v>194</v>
      </c>
      <c r="E180" s="28">
        <v>245.32</v>
      </c>
      <c r="F180" s="28">
        <v>47592.08</v>
      </c>
      <c r="G180" s="28">
        <v>26563.86</v>
      </c>
      <c r="H180" s="28">
        <v>21028.22</v>
      </c>
      <c r="I180" s="28">
        <v>1462.85</v>
      </c>
      <c r="J180" s="28">
        <v>46129.23</v>
      </c>
    </row>
    <row r="181" spans="1:10" x14ac:dyDescent="0.25">
      <c r="A181" s="29" t="s">
        <v>39</v>
      </c>
      <c r="B181" s="29" t="s">
        <v>23</v>
      </c>
      <c r="C181" s="29" t="s">
        <v>28</v>
      </c>
      <c r="D181" s="30">
        <v>234</v>
      </c>
      <c r="E181" s="31">
        <v>53.07</v>
      </c>
      <c r="F181" s="31">
        <v>12418.38</v>
      </c>
      <c r="G181" s="31">
        <v>4390.3599999999997</v>
      </c>
      <c r="H181" s="31">
        <v>8028.02</v>
      </c>
      <c r="I181" s="31">
        <v>588.5</v>
      </c>
      <c r="J181" s="31">
        <v>11829.88</v>
      </c>
    </row>
    <row r="182" spans="1:10" x14ac:dyDescent="0.25">
      <c r="A182" s="26" t="s">
        <v>39</v>
      </c>
      <c r="B182" s="26" t="s">
        <v>29</v>
      </c>
      <c r="C182" s="26" t="s">
        <v>24</v>
      </c>
      <c r="D182" s="27">
        <v>190</v>
      </c>
      <c r="E182" s="28">
        <v>20.92</v>
      </c>
      <c r="F182" s="28">
        <v>3974.8</v>
      </c>
      <c r="G182" s="28">
        <v>1445.36</v>
      </c>
      <c r="H182" s="28">
        <v>2529.44</v>
      </c>
      <c r="I182" s="28">
        <v>121.03</v>
      </c>
      <c r="J182" s="28">
        <v>3853.77</v>
      </c>
    </row>
    <row r="183" spans="1:10" x14ac:dyDescent="0.25">
      <c r="A183" s="29" t="s">
        <v>39</v>
      </c>
      <c r="B183" s="29" t="s">
        <v>29</v>
      </c>
      <c r="C183" s="29" t="s">
        <v>25</v>
      </c>
      <c r="D183" s="30">
        <v>114</v>
      </c>
      <c r="E183" s="31">
        <v>163.09</v>
      </c>
      <c r="F183" s="31">
        <v>18592.259999999998</v>
      </c>
      <c r="G183" s="31">
        <v>10006.32</v>
      </c>
      <c r="H183" s="31">
        <v>8585.94</v>
      </c>
      <c r="I183" s="31">
        <v>319.44</v>
      </c>
      <c r="J183" s="31">
        <v>18272.82</v>
      </c>
    </row>
    <row r="184" spans="1:10" x14ac:dyDescent="0.25">
      <c r="A184" s="26" t="s">
        <v>39</v>
      </c>
      <c r="B184" s="26" t="s">
        <v>29</v>
      </c>
      <c r="C184" s="26" t="s">
        <v>26</v>
      </c>
      <c r="D184" s="27">
        <v>56</v>
      </c>
      <c r="E184" s="28">
        <v>147.78</v>
      </c>
      <c r="F184" s="28">
        <v>8275.68</v>
      </c>
      <c r="G184" s="28">
        <v>3867.63</v>
      </c>
      <c r="H184" s="28">
        <v>4408.05</v>
      </c>
      <c r="I184" s="28">
        <v>337.92</v>
      </c>
      <c r="J184" s="28">
        <v>7937.76</v>
      </c>
    </row>
    <row r="185" spans="1:10" x14ac:dyDescent="0.25">
      <c r="A185" s="29" t="s">
        <v>39</v>
      </c>
      <c r="B185" s="29" t="s">
        <v>29</v>
      </c>
      <c r="C185" s="29" t="s">
        <v>27</v>
      </c>
      <c r="D185" s="30">
        <v>144</v>
      </c>
      <c r="E185" s="31">
        <v>241.72</v>
      </c>
      <c r="F185" s="31">
        <v>34807.68</v>
      </c>
      <c r="G185" s="31">
        <v>14379.73</v>
      </c>
      <c r="H185" s="31">
        <v>20427.95</v>
      </c>
      <c r="I185" s="31">
        <v>2447.6999999999998</v>
      </c>
      <c r="J185" s="31">
        <v>32359.98</v>
      </c>
    </row>
    <row r="186" spans="1:10" x14ac:dyDescent="0.25">
      <c r="A186" s="26" t="s">
        <v>39</v>
      </c>
      <c r="B186" s="26" t="s">
        <v>29</v>
      </c>
      <c r="C186" s="26" t="s">
        <v>28</v>
      </c>
      <c r="D186" s="27">
        <v>108</v>
      </c>
      <c r="E186" s="28">
        <v>207.31</v>
      </c>
      <c r="F186" s="28">
        <v>22389.48</v>
      </c>
      <c r="G186" s="28">
        <v>10079.23</v>
      </c>
      <c r="H186" s="28">
        <v>12310.25</v>
      </c>
      <c r="I186" s="28">
        <v>340</v>
      </c>
      <c r="J186" s="28">
        <v>22049.48</v>
      </c>
    </row>
    <row r="187" spans="1:10" x14ac:dyDescent="0.25">
      <c r="A187" s="29" t="s">
        <v>39</v>
      </c>
      <c r="B187" s="29" t="s">
        <v>30</v>
      </c>
      <c r="C187" s="29" t="s">
        <v>24</v>
      </c>
      <c r="D187" s="30">
        <v>372</v>
      </c>
      <c r="E187" s="31">
        <v>174.75</v>
      </c>
      <c r="F187" s="31">
        <v>65007</v>
      </c>
      <c r="G187" s="31">
        <v>25218.28</v>
      </c>
      <c r="H187" s="31">
        <v>39788.720000000001</v>
      </c>
      <c r="I187" s="31">
        <v>4341.16</v>
      </c>
      <c r="J187" s="31">
        <v>60665.84</v>
      </c>
    </row>
    <row r="188" spans="1:10" x14ac:dyDescent="0.25">
      <c r="A188" s="26" t="s">
        <v>39</v>
      </c>
      <c r="B188" s="26" t="s">
        <v>30</v>
      </c>
      <c r="C188" s="26" t="s">
        <v>25</v>
      </c>
      <c r="D188" s="27">
        <v>205</v>
      </c>
      <c r="E188" s="28">
        <v>30.44</v>
      </c>
      <c r="F188" s="28">
        <v>6240.2</v>
      </c>
      <c r="G188" s="28">
        <v>2571.2600000000002</v>
      </c>
      <c r="H188" s="28">
        <v>3668.94</v>
      </c>
      <c r="I188" s="28">
        <v>306.18</v>
      </c>
      <c r="J188" s="28">
        <v>5934.02</v>
      </c>
    </row>
    <row r="189" spans="1:10" x14ac:dyDescent="0.25">
      <c r="A189" s="29" t="s">
        <v>39</v>
      </c>
      <c r="B189" s="29" t="s">
        <v>30</v>
      </c>
      <c r="C189" s="29" t="s">
        <v>26</v>
      </c>
      <c r="D189" s="30">
        <v>263</v>
      </c>
      <c r="E189" s="31">
        <v>155.52000000000001</v>
      </c>
      <c r="F189" s="31">
        <v>40901.760000000002</v>
      </c>
      <c r="G189" s="31">
        <v>22401.29</v>
      </c>
      <c r="H189" s="31">
        <v>18500.47</v>
      </c>
      <c r="I189" s="31">
        <v>1055.19</v>
      </c>
      <c r="J189" s="31">
        <v>39846.57</v>
      </c>
    </row>
    <row r="190" spans="1:10" x14ac:dyDescent="0.25">
      <c r="A190" s="26" t="s">
        <v>39</v>
      </c>
      <c r="B190" s="26" t="s">
        <v>30</v>
      </c>
      <c r="C190" s="26" t="s">
        <v>27</v>
      </c>
      <c r="D190" s="27">
        <v>317</v>
      </c>
      <c r="E190" s="28">
        <v>101.29</v>
      </c>
      <c r="F190" s="28">
        <v>32108.93</v>
      </c>
      <c r="G190" s="28">
        <v>18530.900000000001</v>
      </c>
      <c r="H190" s="28">
        <v>13578.03</v>
      </c>
      <c r="I190" s="28">
        <v>989.43</v>
      </c>
      <c r="J190" s="28">
        <v>31119.5</v>
      </c>
    </row>
    <row r="191" spans="1:10" x14ac:dyDescent="0.25">
      <c r="A191" s="29" t="s">
        <v>39</v>
      </c>
      <c r="B191" s="29" t="s">
        <v>30</v>
      </c>
      <c r="C191" s="29" t="s">
        <v>28</v>
      </c>
      <c r="D191" s="30">
        <v>351</v>
      </c>
      <c r="E191" s="31">
        <v>247.61</v>
      </c>
      <c r="F191" s="31">
        <v>86911.11</v>
      </c>
      <c r="G191" s="31">
        <v>37054.120000000003</v>
      </c>
      <c r="H191" s="31">
        <v>49856.99</v>
      </c>
      <c r="I191" s="31">
        <v>4647.3</v>
      </c>
      <c r="J191" s="31">
        <v>82263.81</v>
      </c>
    </row>
    <row r="192" spans="1:10" x14ac:dyDescent="0.25">
      <c r="A192" s="26" t="s">
        <v>39</v>
      </c>
      <c r="B192" s="26" t="s">
        <v>31</v>
      </c>
      <c r="C192" s="26" t="s">
        <v>24</v>
      </c>
      <c r="D192" s="27">
        <v>362</v>
      </c>
      <c r="E192" s="28">
        <v>240.43</v>
      </c>
      <c r="F192" s="28">
        <v>87035.66</v>
      </c>
      <c r="G192" s="28">
        <v>32621.7</v>
      </c>
      <c r="H192" s="28">
        <v>54413.96</v>
      </c>
      <c r="I192" s="28">
        <v>5517.33</v>
      </c>
      <c r="J192" s="28">
        <v>81518.33</v>
      </c>
    </row>
    <row r="193" spans="1:10" x14ac:dyDescent="0.25">
      <c r="A193" s="29" t="s">
        <v>39</v>
      </c>
      <c r="B193" s="29" t="s">
        <v>31</v>
      </c>
      <c r="C193" s="29" t="s">
        <v>25</v>
      </c>
      <c r="D193" s="30">
        <v>370</v>
      </c>
      <c r="E193" s="31">
        <v>60.65</v>
      </c>
      <c r="F193" s="31">
        <v>22440.5</v>
      </c>
      <c r="G193" s="31">
        <v>11559.26</v>
      </c>
      <c r="H193" s="31">
        <v>10881.24</v>
      </c>
      <c r="I193" s="31">
        <v>471.12</v>
      </c>
      <c r="J193" s="31">
        <v>21969.38</v>
      </c>
    </row>
    <row r="194" spans="1:10" x14ac:dyDescent="0.25">
      <c r="A194" s="26" t="s">
        <v>39</v>
      </c>
      <c r="B194" s="26" t="s">
        <v>31</v>
      </c>
      <c r="C194" s="26" t="s">
        <v>26</v>
      </c>
      <c r="D194" s="27">
        <v>138</v>
      </c>
      <c r="E194" s="28">
        <v>142.47999999999999</v>
      </c>
      <c r="F194" s="28">
        <v>19662.240000000002</v>
      </c>
      <c r="G194" s="28">
        <v>7651.23</v>
      </c>
      <c r="H194" s="28">
        <v>12011.01</v>
      </c>
      <c r="I194" s="28">
        <v>758.89</v>
      </c>
      <c r="J194" s="28">
        <v>18903.349999999999</v>
      </c>
    </row>
    <row r="195" spans="1:10" x14ac:dyDescent="0.25">
      <c r="A195" s="29" t="s">
        <v>39</v>
      </c>
      <c r="B195" s="29" t="s">
        <v>31</v>
      </c>
      <c r="C195" s="29" t="s">
        <v>27</v>
      </c>
      <c r="D195" s="30">
        <v>402</v>
      </c>
      <c r="E195" s="31">
        <v>152.51</v>
      </c>
      <c r="F195" s="31">
        <v>61309.02</v>
      </c>
      <c r="G195" s="31">
        <v>25922.36</v>
      </c>
      <c r="H195" s="31">
        <v>35386.660000000003</v>
      </c>
      <c r="I195" s="31">
        <v>1606.5</v>
      </c>
      <c r="J195" s="31">
        <v>59702.52</v>
      </c>
    </row>
    <row r="196" spans="1:10" x14ac:dyDescent="0.25">
      <c r="A196" s="26" t="s">
        <v>39</v>
      </c>
      <c r="B196" s="26" t="s">
        <v>31</v>
      </c>
      <c r="C196" s="26" t="s">
        <v>28</v>
      </c>
      <c r="D196" s="27">
        <v>411</v>
      </c>
      <c r="E196" s="28">
        <v>77.849999999999994</v>
      </c>
      <c r="F196" s="28">
        <v>31996.35</v>
      </c>
      <c r="G196" s="28">
        <v>18074.79</v>
      </c>
      <c r="H196" s="28">
        <v>13921.56</v>
      </c>
      <c r="I196" s="28">
        <v>479.39</v>
      </c>
      <c r="J196" s="28">
        <v>31516.959999999999</v>
      </c>
    </row>
    <row r="197" spans="1:10" x14ac:dyDescent="0.25">
      <c r="A197" s="29" t="s">
        <v>39</v>
      </c>
      <c r="B197" s="29" t="s">
        <v>32</v>
      </c>
      <c r="C197" s="29" t="s">
        <v>24</v>
      </c>
      <c r="D197" s="30">
        <v>169</v>
      </c>
      <c r="E197" s="31">
        <v>231.74</v>
      </c>
      <c r="F197" s="31">
        <v>39164.06</v>
      </c>
      <c r="G197" s="31">
        <v>21421.06</v>
      </c>
      <c r="H197" s="31">
        <v>17743</v>
      </c>
      <c r="I197" s="31">
        <v>2105.23</v>
      </c>
      <c r="J197" s="31">
        <v>37058.83</v>
      </c>
    </row>
    <row r="198" spans="1:10" x14ac:dyDescent="0.25">
      <c r="A198" s="26" t="s">
        <v>39</v>
      </c>
      <c r="B198" s="26" t="s">
        <v>32</v>
      </c>
      <c r="C198" s="26" t="s">
        <v>25</v>
      </c>
      <c r="D198" s="27">
        <v>388</v>
      </c>
      <c r="E198" s="28">
        <v>202.94</v>
      </c>
      <c r="F198" s="28">
        <v>78740.72</v>
      </c>
      <c r="G198" s="28">
        <v>31453.360000000001</v>
      </c>
      <c r="H198" s="28">
        <v>47287.360000000001</v>
      </c>
      <c r="I198" s="28">
        <v>1420.04</v>
      </c>
      <c r="J198" s="28">
        <v>77320.679999999993</v>
      </c>
    </row>
    <row r="199" spans="1:10" x14ac:dyDescent="0.25">
      <c r="A199" s="29" t="s">
        <v>39</v>
      </c>
      <c r="B199" s="29" t="s">
        <v>32</v>
      </c>
      <c r="C199" s="29" t="s">
        <v>26</v>
      </c>
      <c r="D199" s="30">
        <v>165</v>
      </c>
      <c r="E199" s="31">
        <v>165.43</v>
      </c>
      <c r="F199" s="31">
        <v>27295.95</v>
      </c>
      <c r="G199" s="31">
        <v>15752.57</v>
      </c>
      <c r="H199" s="31">
        <v>11543.38</v>
      </c>
      <c r="I199" s="31">
        <v>1852.42</v>
      </c>
      <c r="J199" s="31">
        <v>25443.53</v>
      </c>
    </row>
    <row r="200" spans="1:10" x14ac:dyDescent="0.25">
      <c r="A200" s="26" t="s">
        <v>39</v>
      </c>
      <c r="B200" s="26" t="s">
        <v>32</v>
      </c>
      <c r="C200" s="26" t="s">
        <v>27</v>
      </c>
      <c r="D200" s="27">
        <v>86</v>
      </c>
      <c r="E200" s="28">
        <v>24.31</v>
      </c>
      <c r="F200" s="28">
        <v>2090.66</v>
      </c>
      <c r="G200" s="28">
        <v>1146.01</v>
      </c>
      <c r="H200" s="28">
        <v>944.65</v>
      </c>
      <c r="I200" s="28">
        <v>107.99</v>
      </c>
      <c r="J200" s="28">
        <v>1982.67</v>
      </c>
    </row>
    <row r="201" spans="1:10" x14ac:dyDescent="0.25">
      <c r="A201" s="29" t="s">
        <v>39</v>
      </c>
      <c r="B201" s="29" t="s">
        <v>32</v>
      </c>
      <c r="C201" s="29" t="s">
        <v>28</v>
      </c>
      <c r="D201" s="30">
        <v>472</v>
      </c>
      <c r="E201" s="31">
        <v>146.61000000000001</v>
      </c>
      <c r="F201" s="31">
        <v>69199.92</v>
      </c>
      <c r="G201" s="31">
        <v>29212.93</v>
      </c>
      <c r="H201" s="31">
        <v>39986.99</v>
      </c>
      <c r="I201" s="31">
        <v>1294.3699999999999</v>
      </c>
      <c r="J201" s="31">
        <v>67905.55</v>
      </c>
    </row>
    <row r="202" spans="1:10" x14ac:dyDescent="0.25">
      <c r="A202" s="26" t="s">
        <v>40</v>
      </c>
      <c r="B202" s="26" t="s">
        <v>23</v>
      </c>
      <c r="C202" s="26" t="s">
        <v>24</v>
      </c>
      <c r="D202" s="27">
        <v>402</v>
      </c>
      <c r="E202" s="28">
        <v>82.98</v>
      </c>
      <c r="F202" s="28">
        <v>33357.96</v>
      </c>
      <c r="G202" s="28">
        <v>15032</v>
      </c>
      <c r="H202" s="28">
        <v>18325.96</v>
      </c>
      <c r="I202" s="28">
        <v>969.29</v>
      </c>
      <c r="J202" s="28">
        <v>32388.67</v>
      </c>
    </row>
    <row r="203" spans="1:10" x14ac:dyDescent="0.25">
      <c r="A203" s="29" t="s">
        <v>40</v>
      </c>
      <c r="B203" s="29" t="s">
        <v>23</v>
      </c>
      <c r="C203" s="29" t="s">
        <v>25</v>
      </c>
      <c r="D203" s="30">
        <v>326</v>
      </c>
      <c r="E203" s="31">
        <v>128.51</v>
      </c>
      <c r="F203" s="31">
        <v>41894.26</v>
      </c>
      <c r="G203" s="31">
        <v>15505.5</v>
      </c>
      <c r="H203" s="31">
        <v>26388.76</v>
      </c>
      <c r="I203" s="31">
        <v>535.84</v>
      </c>
      <c r="J203" s="31">
        <v>41358.42</v>
      </c>
    </row>
    <row r="204" spans="1:10" x14ac:dyDescent="0.25">
      <c r="A204" s="26" t="s">
        <v>40</v>
      </c>
      <c r="B204" s="26" t="s">
        <v>23</v>
      </c>
      <c r="C204" s="26" t="s">
        <v>26</v>
      </c>
      <c r="D204" s="27">
        <v>271</v>
      </c>
      <c r="E204" s="28">
        <v>186.29</v>
      </c>
      <c r="F204" s="28">
        <v>50484.59</v>
      </c>
      <c r="G204" s="28">
        <v>25289.17</v>
      </c>
      <c r="H204" s="28">
        <v>25195.42</v>
      </c>
      <c r="I204" s="28">
        <v>596.25</v>
      </c>
      <c r="J204" s="28">
        <v>49888.34</v>
      </c>
    </row>
    <row r="205" spans="1:10" x14ac:dyDescent="0.25">
      <c r="A205" s="29" t="s">
        <v>40</v>
      </c>
      <c r="B205" s="29" t="s">
        <v>23</v>
      </c>
      <c r="C205" s="29" t="s">
        <v>27</v>
      </c>
      <c r="D205" s="30">
        <v>167</v>
      </c>
      <c r="E205" s="31">
        <v>240.86</v>
      </c>
      <c r="F205" s="31">
        <v>40223.620000000003</v>
      </c>
      <c r="G205" s="31">
        <v>22484.59</v>
      </c>
      <c r="H205" s="31">
        <v>17739.03</v>
      </c>
      <c r="I205" s="31">
        <v>2021.8</v>
      </c>
      <c r="J205" s="31">
        <v>38201.82</v>
      </c>
    </row>
    <row r="206" spans="1:10" x14ac:dyDescent="0.25">
      <c r="A206" s="26" t="s">
        <v>40</v>
      </c>
      <c r="B206" s="26" t="s">
        <v>23</v>
      </c>
      <c r="C206" s="26" t="s">
        <v>28</v>
      </c>
      <c r="D206" s="27">
        <v>60</v>
      </c>
      <c r="E206" s="28">
        <v>249.9</v>
      </c>
      <c r="F206" s="28">
        <v>14994</v>
      </c>
      <c r="G206" s="28">
        <v>7767.95</v>
      </c>
      <c r="H206" s="28">
        <v>7226.05</v>
      </c>
      <c r="I206" s="28">
        <v>432.81</v>
      </c>
      <c r="J206" s="28">
        <v>14561.19</v>
      </c>
    </row>
    <row r="207" spans="1:10" x14ac:dyDescent="0.25">
      <c r="A207" s="29" t="s">
        <v>40</v>
      </c>
      <c r="B207" s="29" t="s">
        <v>29</v>
      </c>
      <c r="C207" s="29" t="s">
        <v>24</v>
      </c>
      <c r="D207" s="30">
        <v>70</v>
      </c>
      <c r="E207" s="31">
        <v>193.15</v>
      </c>
      <c r="F207" s="31">
        <v>13520.5</v>
      </c>
      <c r="G207" s="31">
        <v>5324.34</v>
      </c>
      <c r="H207" s="31">
        <v>8196.16</v>
      </c>
      <c r="I207" s="31">
        <v>626.37</v>
      </c>
      <c r="J207" s="31">
        <v>12894.13</v>
      </c>
    </row>
    <row r="208" spans="1:10" x14ac:dyDescent="0.25">
      <c r="A208" s="26" t="s">
        <v>40</v>
      </c>
      <c r="B208" s="26" t="s">
        <v>29</v>
      </c>
      <c r="C208" s="26" t="s">
        <v>25</v>
      </c>
      <c r="D208" s="27">
        <v>276</v>
      </c>
      <c r="E208" s="28">
        <v>229.86</v>
      </c>
      <c r="F208" s="28">
        <v>63441.36</v>
      </c>
      <c r="G208" s="28">
        <v>25082.959999999999</v>
      </c>
      <c r="H208" s="28">
        <v>38358.400000000001</v>
      </c>
      <c r="I208" s="28">
        <v>3233.8</v>
      </c>
      <c r="J208" s="28">
        <v>60207.56</v>
      </c>
    </row>
    <row r="209" spans="1:10" x14ac:dyDescent="0.25">
      <c r="A209" s="29" t="s">
        <v>40</v>
      </c>
      <c r="B209" s="29" t="s">
        <v>29</v>
      </c>
      <c r="C209" s="29" t="s">
        <v>26</v>
      </c>
      <c r="D209" s="30">
        <v>375</v>
      </c>
      <c r="E209" s="31">
        <v>205.42</v>
      </c>
      <c r="F209" s="31">
        <v>77032.5</v>
      </c>
      <c r="G209" s="31">
        <v>45623.56</v>
      </c>
      <c r="H209" s="31">
        <v>31408.94</v>
      </c>
      <c r="I209" s="31">
        <v>3304.75</v>
      </c>
      <c r="J209" s="31">
        <v>73727.75</v>
      </c>
    </row>
    <row r="210" spans="1:10" x14ac:dyDescent="0.25">
      <c r="A210" s="26" t="s">
        <v>40</v>
      </c>
      <c r="B210" s="26" t="s">
        <v>29</v>
      </c>
      <c r="C210" s="26" t="s">
        <v>27</v>
      </c>
      <c r="D210" s="27">
        <v>259</v>
      </c>
      <c r="E210" s="28">
        <v>89.99</v>
      </c>
      <c r="F210" s="28">
        <v>23307.41</v>
      </c>
      <c r="G210" s="28">
        <v>12062.36</v>
      </c>
      <c r="H210" s="28">
        <v>11245.05</v>
      </c>
      <c r="I210" s="28">
        <v>1632.48</v>
      </c>
      <c r="J210" s="28">
        <v>21674.93</v>
      </c>
    </row>
    <row r="211" spans="1:10" x14ac:dyDescent="0.25">
      <c r="A211" s="29" t="s">
        <v>40</v>
      </c>
      <c r="B211" s="29" t="s">
        <v>29</v>
      </c>
      <c r="C211" s="29" t="s">
        <v>28</v>
      </c>
      <c r="D211" s="30">
        <v>218</v>
      </c>
      <c r="E211" s="31">
        <v>108.79</v>
      </c>
      <c r="F211" s="31">
        <v>23716.22</v>
      </c>
      <c r="G211" s="31">
        <v>11238.34</v>
      </c>
      <c r="H211" s="31">
        <v>12477.88</v>
      </c>
      <c r="I211" s="31">
        <v>1337.14</v>
      </c>
      <c r="J211" s="31">
        <v>22379.08</v>
      </c>
    </row>
    <row r="212" spans="1:10" x14ac:dyDescent="0.25">
      <c r="A212" s="26" t="s">
        <v>40</v>
      </c>
      <c r="B212" s="26" t="s">
        <v>30</v>
      </c>
      <c r="C212" s="26" t="s">
        <v>24</v>
      </c>
      <c r="D212" s="27">
        <v>255</v>
      </c>
      <c r="E212" s="28">
        <v>205.26</v>
      </c>
      <c r="F212" s="28">
        <v>52341.3</v>
      </c>
      <c r="G212" s="28">
        <v>25517.65</v>
      </c>
      <c r="H212" s="28">
        <v>26823.65</v>
      </c>
      <c r="I212" s="28">
        <v>2189.85</v>
      </c>
      <c r="J212" s="28">
        <v>50151.45</v>
      </c>
    </row>
    <row r="213" spans="1:10" x14ac:dyDescent="0.25">
      <c r="A213" s="29" t="s">
        <v>40</v>
      </c>
      <c r="B213" s="29" t="s">
        <v>30</v>
      </c>
      <c r="C213" s="29" t="s">
        <v>25</v>
      </c>
      <c r="D213" s="30">
        <v>211</v>
      </c>
      <c r="E213" s="31">
        <v>70.58</v>
      </c>
      <c r="F213" s="31">
        <v>14892.38</v>
      </c>
      <c r="G213" s="31">
        <v>5643.92</v>
      </c>
      <c r="H213" s="31">
        <v>9248.4599999999991</v>
      </c>
      <c r="I213" s="31">
        <v>954.28</v>
      </c>
      <c r="J213" s="31">
        <v>13938.1</v>
      </c>
    </row>
    <row r="214" spans="1:10" x14ac:dyDescent="0.25">
      <c r="A214" s="26" t="s">
        <v>40</v>
      </c>
      <c r="B214" s="26" t="s">
        <v>30</v>
      </c>
      <c r="C214" s="26" t="s">
        <v>26</v>
      </c>
      <c r="D214" s="27">
        <v>492</v>
      </c>
      <c r="E214" s="28">
        <v>133.5</v>
      </c>
      <c r="F214" s="28">
        <v>65682</v>
      </c>
      <c r="G214" s="28">
        <v>39214.11</v>
      </c>
      <c r="H214" s="28">
        <v>26467.89</v>
      </c>
      <c r="I214" s="28">
        <v>3680.57</v>
      </c>
      <c r="J214" s="28">
        <v>62001.43</v>
      </c>
    </row>
    <row r="215" spans="1:10" x14ac:dyDescent="0.25">
      <c r="A215" s="29" t="s">
        <v>40</v>
      </c>
      <c r="B215" s="29" t="s">
        <v>30</v>
      </c>
      <c r="C215" s="29" t="s">
        <v>27</v>
      </c>
      <c r="D215" s="30">
        <v>327</v>
      </c>
      <c r="E215" s="31">
        <v>120.87</v>
      </c>
      <c r="F215" s="31">
        <v>39524.49</v>
      </c>
      <c r="G215" s="31">
        <v>14369.17</v>
      </c>
      <c r="H215" s="31">
        <v>25155.32</v>
      </c>
      <c r="I215" s="31">
        <v>1829.62</v>
      </c>
      <c r="J215" s="31">
        <v>37694.870000000003</v>
      </c>
    </row>
    <row r="216" spans="1:10" x14ac:dyDescent="0.25">
      <c r="A216" s="26" t="s">
        <v>40</v>
      </c>
      <c r="B216" s="26" t="s">
        <v>30</v>
      </c>
      <c r="C216" s="26" t="s">
        <v>28</v>
      </c>
      <c r="D216" s="27">
        <v>368</v>
      </c>
      <c r="E216" s="28">
        <v>191.55</v>
      </c>
      <c r="F216" s="28">
        <v>70490.399999999994</v>
      </c>
      <c r="G216" s="28">
        <v>35692.97</v>
      </c>
      <c r="H216" s="28">
        <v>34797.43</v>
      </c>
      <c r="I216" s="28">
        <v>4454.95</v>
      </c>
      <c r="J216" s="28">
        <v>66035.45</v>
      </c>
    </row>
    <row r="217" spans="1:10" x14ac:dyDescent="0.25">
      <c r="A217" s="29" t="s">
        <v>40</v>
      </c>
      <c r="B217" s="29" t="s">
        <v>31</v>
      </c>
      <c r="C217" s="29" t="s">
        <v>24</v>
      </c>
      <c r="D217" s="30">
        <v>154</v>
      </c>
      <c r="E217" s="31">
        <v>74.09</v>
      </c>
      <c r="F217" s="31">
        <v>11409.86</v>
      </c>
      <c r="G217" s="31">
        <v>4367.16</v>
      </c>
      <c r="H217" s="31">
        <v>7042.7</v>
      </c>
      <c r="I217" s="31">
        <v>344.14</v>
      </c>
      <c r="J217" s="31">
        <v>11065.72</v>
      </c>
    </row>
    <row r="218" spans="1:10" x14ac:dyDescent="0.25">
      <c r="A218" s="26" t="s">
        <v>40</v>
      </c>
      <c r="B218" s="26" t="s">
        <v>31</v>
      </c>
      <c r="C218" s="26" t="s">
        <v>25</v>
      </c>
      <c r="D218" s="27">
        <v>500</v>
      </c>
      <c r="E218" s="28">
        <v>177.58</v>
      </c>
      <c r="F218" s="28">
        <v>88790</v>
      </c>
      <c r="G218" s="28">
        <v>33771.86</v>
      </c>
      <c r="H218" s="28">
        <v>55018.14</v>
      </c>
      <c r="I218" s="28">
        <v>6936.3</v>
      </c>
      <c r="J218" s="28">
        <v>81853.7</v>
      </c>
    </row>
    <row r="219" spans="1:10" x14ac:dyDescent="0.25">
      <c r="A219" s="29" t="s">
        <v>40</v>
      </c>
      <c r="B219" s="29" t="s">
        <v>31</v>
      </c>
      <c r="C219" s="29" t="s">
        <v>26</v>
      </c>
      <c r="D219" s="30">
        <v>361</v>
      </c>
      <c r="E219" s="31">
        <v>201.84</v>
      </c>
      <c r="F219" s="31">
        <v>72864.240000000005</v>
      </c>
      <c r="G219" s="31">
        <v>38431.93</v>
      </c>
      <c r="H219" s="31">
        <v>34432.31</v>
      </c>
      <c r="I219" s="31">
        <v>2313.62</v>
      </c>
      <c r="J219" s="31">
        <v>70550.62</v>
      </c>
    </row>
    <row r="220" spans="1:10" x14ac:dyDescent="0.25">
      <c r="A220" s="26" t="s">
        <v>40</v>
      </c>
      <c r="B220" s="26" t="s">
        <v>31</v>
      </c>
      <c r="C220" s="26" t="s">
        <v>27</v>
      </c>
      <c r="D220" s="27">
        <v>57</v>
      </c>
      <c r="E220" s="28">
        <v>142.54</v>
      </c>
      <c r="F220" s="28">
        <v>8124.78</v>
      </c>
      <c r="G220" s="28">
        <v>3033</v>
      </c>
      <c r="H220" s="28">
        <v>5091.78</v>
      </c>
      <c r="I220" s="28">
        <v>645.58000000000004</v>
      </c>
      <c r="J220" s="28">
        <v>7479.2</v>
      </c>
    </row>
    <row r="221" spans="1:10" x14ac:dyDescent="0.25">
      <c r="A221" s="29" t="s">
        <v>40</v>
      </c>
      <c r="B221" s="29" t="s">
        <v>31</v>
      </c>
      <c r="C221" s="29" t="s">
        <v>28</v>
      </c>
      <c r="D221" s="30">
        <v>108</v>
      </c>
      <c r="E221" s="31">
        <v>120.75</v>
      </c>
      <c r="F221" s="31">
        <v>13041</v>
      </c>
      <c r="G221" s="31">
        <v>4947.32</v>
      </c>
      <c r="H221" s="31">
        <v>8093.68</v>
      </c>
      <c r="I221" s="31">
        <v>890.05</v>
      </c>
      <c r="J221" s="31">
        <v>12150.95</v>
      </c>
    </row>
    <row r="222" spans="1:10" x14ac:dyDescent="0.25">
      <c r="A222" s="26" t="s">
        <v>40</v>
      </c>
      <c r="B222" s="26" t="s">
        <v>32</v>
      </c>
      <c r="C222" s="26" t="s">
        <v>24</v>
      </c>
      <c r="D222" s="27">
        <v>305</v>
      </c>
      <c r="E222" s="28">
        <v>233.84</v>
      </c>
      <c r="F222" s="28">
        <v>71321.2</v>
      </c>
      <c r="G222" s="28">
        <v>30166.400000000001</v>
      </c>
      <c r="H222" s="28">
        <v>41154.800000000003</v>
      </c>
      <c r="I222" s="28">
        <v>4234.97</v>
      </c>
      <c r="J222" s="28">
        <v>67086.23</v>
      </c>
    </row>
    <row r="223" spans="1:10" x14ac:dyDescent="0.25">
      <c r="A223" s="29" t="s">
        <v>40</v>
      </c>
      <c r="B223" s="29" t="s">
        <v>32</v>
      </c>
      <c r="C223" s="29" t="s">
        <v>25</v>
      </c>
      <c r="D223" s="30">
        <v>262</v>
      </c>
      <c r="E223" s="31">
        <v>210.33</v>
      </c>
      <c r="F223" s="31">
        <v>55106.46</v>
      </c>
      <c r="G223" s="31">
        <v>32791.71</v>
      </c>
      <c r="H223" s="31">
        <v>22314.75</v>
      </c>
      <c r="I223" s="31">
        <v>1491.24</v>
      </c>
      <c r="J223" s="31">
        <v>53615.22</v>
      </c>
    </row>
    <row r="224" spans="1:10" x14ac:dyDescent="0.25">
      <c r="A224" s="26" t="s">
        <v>40</v>
      </c>
      <c r="B224" s="26" t="s">
        <v>32</v>
      </c>
      <c r="C224" s="26" t="s">
        <v>26</v>
      </c>
      <c r="D224" s="27">
        <v>332</v>
      </c>
      <c r="E224" s="28">
        <v>44.71</v>
      </c>
      <c r="F224" s="28">
        <v>14843.72</v>
      </c>
      <c r="G224" s="28">
        <v>5902.64</v>
      </c>
      <c r="H224" s="28">
        <v>8941.08</v>
      </c>
      <c r="I224" s="28">
        <v>771.23</v>
      </c>
      <c r="J224" s="28">
        <v>14072.49</v>
      </c>
    </row>
    <row r="225" spans="1:10" x14ac:dyDescent="0.25">
      <c r="A225" s="29" t="s">
        <v>40</v>
      </c>
      <c r="B225" s="29" t="s">
        <v>32</v>
      </c>
      <c r="C225" s="29" t="s">
        <v>27</v>
      </c>
      <c r="D225" s="30">
        <v>432</v>
      </c>
      <c r="E225" s="31">
        <v>221.04</v>
      </c>
      <c r="F225" s="31">
        <v>95489.279999999999</v>
      </c>
      <c r="G225" s="31">
        <v>54047.58</v>
      </c>
      <c r="H225" s="31">
        <v>41441.699999999997</v>
      </c>
      <c r="I225" s="31">
        <v>2801.4</v>
      </c>
      <c r="J225" s="31">
        <v>92687.88</v>
      </c>
    </row>
    <row r="226" spans="1:10" x14ac:dyDescent="0.25">
      <c r="A226" s="26" t="s">
        <v>40</v>
      </c>
      <c r="B226" s="26" t="s">
        <v>32</v>
      </c>
      <c r="C226" s="26" t="s">
        <v>28</v>
      </c>
      <c r="D226" s="27">
        <v>454</v>
      </c>
      <c r="E226" s="28">
        <v>215.06</v>
      </c>
      <c r="F226" s="28">
        <v>97637.24</v>
      </c>
      <c r="G226" s="28">
        <v>42469.15</v>
      </c>
      <c r="H226" s="28">
        <v>55168.09</v>
      </c>
      <c r="I226" s="28">
        <v>6360.11</v>
      </c>
      <c r="J226" s="28">
        <v>91277.13</v>
      </c>
    </row>
    <row r="227" spans="1:10" x14ac:dyDescent="0.25">
      <c r="A227" s="29" t="s">
        <v>41</v>
      </c>
      <c r="B227" s="29" t="s">
        <v>23</v>
      </c>
      <c r="C227" s="29" t="s">
        <v>24</v>
      </c>
      <c r="D227" s="30">
        <v>186</v>
      </c>
      <c r="E227" s="31">
        <v>206.93</v>
      </c>
      <c r="F227" s="31">
        <v>38488.980000000003</v>
      </c>
      <c r="G227" s="31">
        <v>16192.69</v>
      </c>
      <c r="H227" s="31">
        <v>22296.29</v>
      </c>
      <c r="I227" s="31">
        <v>1189.27</v>
      </c>
      <c r="J227" s="31">
        <v>37299.71</v>
      </c>
    </row>
    <row r="228" spans="1:10" x14ac:dyDescent="0.25">
      <c r="A228" s="26" t="s">
        <v>41</v>
      </c>
      <c r="B228" s="26" t="s">
        <v>23</v>
      </c>
      <c r="C228" s="26" t="s">
        <v>25</v>
      </c>
      <c r="D228" s="27">
        <v>350</v>
      </c>
      <c r="E228" s="28">
        <v>149.18</v>
      </c>
      <c r="F228" s="28">
        <v>52213</v>
      </c>
      <c r="G228" s="28">
        <v>26888.92</v>
      </c>
      <c r="H228" s="28">
        <v>25324.080000000002</v>
      </c>
      <c r="I228" s="28">
        <v>3684.58</v>
      </c>
      <c r="J228" s="28">
        <v>48528.42</v>
      </c>
    </row>
    <row r="229" spans="1:10" x14ac:dyDescent="0.25">
      <c r="A229" s="29" t="s">
        <v>41</v>
      </c>
      <c r="B229" s="29" t="s">
        <v>23</v>
      </c>
      <c r="C229" s="29" t="s">
        <v>26</v>
      </c>
      <c r="D229" s="30">
        <v>278</v>
      </c>
      <c r="E229" s="31">
        <v>139.26</v>
      </c>
      <c r="F229" s="31">
        <v>38714.28</v>
      </c>
      <c r="G229" s="31">
        <v>16890.3</v>
      </c>
      <c r="H229" s="31">
        <v>21823.98</v>
      </c>
      <c r="I229" s="31">
        <v>1882.84</v>
      </c>
      <c r="J229" s="31">
        <v>36831.440000000002</v>
      </c>
    </row>
    <row r="230" spans="1:10" x14ac:dyDescent="0.25">
      <c r="A230" s="26" t="s">
        <v>41</v>
      </c>
      <c r="B230" s="26" t="s">
        <v>23</v>
      </c>
      <c r="C230" s="26" t="s">
        <v>27</v>
      </c>
      <c r="D230" s="27">
        <v>328</v>
      </c>
      <c r="E230" s="28">
        <v>100.53</v>
      </c>
      <c r="F230" s="28">
        <v>32973.839999999997</v>
      </c>
      <c r="G230" s="28">
        <v>19230.77</v>
      </c>
      <c r="H230" s="28">
        <v>13743.07</v>
      </c>
      <c r="I230" s="28">
        <v>2336.9299999999998</v>
      </c>
      <c r="J230" s="28">
        <v>30636.91</v>
      </c>
    </row>
    <row r="231" spans="1:10" x14ac:dyDescent="0.25">
      <c r="A231" s="29" t="s">
        <v>41</v>
      </c>
      <c r="B231" s="29" t="s">
        <v>23</v>
      </c>
      <c r="C231" s="29" t="s">
        <v>28</v>
      </c>
      <c r="D231" s="30">
        <v>407</v>
      </c>
      <c r="E231" s="31">
        <v>67.31</v>
      </c>
      <c r="F231" s="31">
        <v>27395.17</v>
      </c>
      <c r="G231" s="31">
        <v>12211.2</v>
      </c>
      <c r="H231" s="31">
        <v>15183.97</v>
      </c>
      <c r="I231" s="31">
        <v>1915.5</v>
      </c>
      <c r="J231" s="31">
        <v>25479.67</v>
      </c>
    </row>
    <row r="232" spans="1:10" x14ac:dyDescent="0.25">
      <c r="A232" s="26" t="s">
        <v>41</v>
      </c>
      <c r="B232" s="26" t="s">
        <v>29</v>
      </c>
      <c r="C232" s="26" t="s">
        <v>24</v>
      </c>
      <c r="D232" s="27">
        <v>260</v>
      </c>
      <c r="E232" s="28">
        <v>20.48</v>
      </c>
      <c r="F232" s="28">
        <v>5324.8</v>
      </c>
      <c r="G232" s="28">
        <v>2855.03</v>
      </c>
      <c r="H232" s="28">
        <v>2469.77</v>
      </c>
      <c r="I232" s="28">
        <v>316.11</v>
      </c>
      <c r="J232" s="28">
        <v>5008.6899999999996</v>
      </c>
    </row>
    <row r="233" spans="1:10" x14ac:dyDescent="0.25">
      <c r="A233" s="29" t="s">
        <v>41</v>
      </c>
      <c r="B233" s="29" t="s">
        <v>29</v>
      </c>
      <c r="C233" s="29" t="s">
        <v>25</v>
      </c>
      <c r="D233" s="30">
        <v>465</v>
      </c>
      <c r="E233" s="31">
        <v>101.5</v>
      </c>
      <c r="F233" s="31">
        <v>47197.5</v>
      </c>
      <c r="G233" s="31">
        <v>28181.79</v>
      </c>
      <c r="H233" s="31">
        <v>19015.71</v>
      </c>
      <c r="I233" s="31">
        <v>3089.9</v>
      </c>
      <c r="J233" s="31">
        <v>44107.6</v>
      </c>
    </row>
    <row r="234" spans="1:10" x14ac:dyDescent="0.25">
      <c r="A234" s="26" t="s">
        <v>41</v>
      </c>
      <c r="B234" s="26" t="s">
        <v>29</v>
      </c>
      <c r="C234" s="26" t="s">
        <v>26</v>
      </c>
      <c r="D234" s="27">
        <v>383</v>
      </c>
      <c r="E234" s="28">
        <v>245.4</v>
      </c>
      <c r="F234" s="28">
        <v>93988.2</v>
      </c>
      <c r="G234" s="28">
        <v>44534.63</v>
      </c>
      <c r="H234" s="28">
        <v>49453.57</v>
      </c>
      <c r="I234" s="28">
        <v>1183.44</v>
      </c>
      <c r="J234" s="28">
        <v>92804.76</v>
      </c>
    </row>
    <row r="235" spans="1:10" x14ac:dyDescent="0.25">
      <c r="A235" s="29" t="s">
        <v>41</v>
      </c>
      <c r="B235" s="29" t="s">
        <v>29</v>
      </c>
      <c r="C235" s="29" t="s">
        <v>27</v>
      </c>
      <c r="D235" s="30">
        <v>307</v>
      </c>
      <c r="E235" s="31">
        <v>241.68</v>
      </c>
      <c r="F235" s="31">
        <v>74195.759999999995</v>
      </c>
      <c r="G235" s="31">
        <v>32126.67</v>
      </c>
      <c r="H235" s="31">
        <v>42069.09</v>
      </c>
      <c r="I235" s="31">
        <v>1263.22</v>
      </c>
      <c r="J235" s="31">
        <v>72932.539999999994</v>
      </c>
    </row>
    <row r="236" spans="1:10" x14ac:dyDescent="0.25">
      <c r="A236" s="26" t="s">
        <v>41</v>
      </c>
      <c r="B236" s="26" t="s">
        <v>29</v>
      </c>
      <c r="C236" s="26" t="s">
        <v>28</v>
      </c>
      <c r="D236" s="27">
        <v>482</v>
      </c>
      <c r="E236" s="28">
        <v>115.67</v>
      </c>
      <c r="F236" s="28">
        <v>55752.94</v>
      </c>
      <c r="G236" s="28">
        <v>26844.36</v>
      </c>
      <c r="H236" s="28">
        <v>28908.58</v>
      </c>
      <c r="I236" s="28">
        <v>2340.79</v>
      </c>
      <c r="J236" s="28">
        <v>53412.15</v>
      </c>
    </row>
    <row r="237" spans="1:10" x14ac:dyDescent="0.25">
      <c r="A237" s="29" t="s">
        <v>41</v>
      </c>
      <c r="B237" s="29" t="s">
        <v>30</v>
      </c>
      <c r="C237" s="29" t="s">
        <v>24</v>
      </c>
      <c r="D237" s="30">
        <v>419</v>
      </c>
      <c r="E237" s="31">
        <v>44.6</v>
      </c>
      <c r="F237" s="31">
        <v>18687.400000000001</v>
      </c>
      <c r="G237" s="31">
        <v>10609.46</v>
      </c>
      <c r="H237" s="31">
        <v>8077.94</v>
      </c>
      <c r="I237" s="31">
        <v>1455.69</v>
      </c>
      <c r="J237" s="31">
        <v>17231.71</v>
      </c>
    </row>
    <row r="238" spans="1:10" x14ac:dyDescent="0.25">
      <c r="A238" s="26" t="s">
        <v>41</v>
      </c>
      <c r="B238" s="26" t="s">
        <v>30</v>
      </c>
      <c r="C238" s="26" t="s">
        <v>25</v>
      </c>
      <c r="D238" s="27">
        <v>88</v>
      </c>
      <c r="E238" s="28">
        <v>122.68</v>
      </c>
      <c r="F238" s="28">
        <v>10795.84</v>
      </c>
      <c r="G238" s="28">
        <v>6394.39</v>
      </c>
      <c r="H238" s="28">
        <v>4401.45</v>
      </c>
      <c r="I238" s="28">
        <v>363.81</v>
      </c>
      <c r="J238" s="28">
        <v>10432.030000000001</v>
      </c>
    </row>
    <row r="239" spans="1:10" x14ac:dyDescent="0.25">
      <c r="A239" s="29" t="s">
        <v>41</v>
      </c>
      <c r="B239" s="29" t="s">
        <v>30</v>
      </c>
      <c r="C239" s="29" t="s">
        <v>26</v>
      </c>
      <c r="D239" s="30">
        <v>404</v>
      </c>
      <c r="E239" s="31">
        <v>105.4</v>
      </c>
      <c r="F239" s="31">
        <v>42581.599999999999</v>
      </c>
      <c r="G239" s="31">
        <v>15758.55</v>
      </c>
      <c r="H239" s="31">
        <v>26823.05</v>
      </c>
      <c r="I239" s="31">
        <v>1405.18</v>
      </c>
      <c r="J239" s="31">
        <v>41176.42</v>
      </c>
    </row>
    <row r="240" spans="1:10" x14ac:dyDescent="0.25">
      <c r="A240" s="26" t="s">
        <v>41</v>
      </c>
      <c r="B240" s="26" t="s">
        <v>30</v>
      </c>
      <c r="C240" s="26" t="s">
        <v>27</v>
      </c>
      <c r="D240" s="27">
        <v>395</v>
      </c>
      <c r="E240" s="28">
        <v>216.24</v>
      </c>
      <c r="F240" s="28">
        <v>85414.8</v>
      </c>
      <c r="G240" s="28">
        <v>38009.79</v>
      </c>
      <c r="H240" s="28">
        <v>47405.01</v>
      </c>
      <c r="I240" s="28">
        <v>2747.48</v>
      </c>
      <c r="J240" s="28">
        <v>82667.320000000007</v>
      </c>
    </row>
    <row r="241" spans="1:10" x14ac:dyDescent="0.25">
      <c r="A241" s="29" t="s">
        <v>41</v>
      </c>
      <c r="B241" s="29" t="s">
        <v>30</v>
      </c>
      <c r="C241" s="29" t="s">
        <v>28</v>
      </c>
      <c r="D241" s="30">
        <v>417</v>
      </c>
      <c r="E241" s="31">
        <v>222.99</v>
      </c>
      <c r="F241" s="31">
        <v>92986.83</v>
      </c>
      <c r="G241" s="31">
        <v>43888.56</v>
      </c>
      <c r="H241" s="31">
        <v>49098.27</v>
      </c>
      <c r="I241" s="31">
        <v>4451.38</v>
      </c>
      <c r="J241" s="31">
        <v>88535.45</v>
      </c>
    </row>
    <row r="242" spans="1:10" x14ac:dyDescent="0.25">
      <c r="A242" s="26" t="s">
        <v>41</v>
      </c>
      <c r="B242" s="26" t="s">
        <v>31</v>
      </c>
      <c r="C242" s="26" t="s">
        <v>24</v>
      </c>
      <c r="D242" s="27">
        <v>366</v>
      </c>
      <c r="E242" s="28">
        <v>26.42</v>
      </c>
      <c r="F242" s="28">
        <v>9669.7199999999993</v>
      </c>
      <c r="G242" s="28">
        <v>4910.1899999999996</v>
      </c>
      <c r="H242" s="28">
        <v>4759.53</v>
      </c>
      <c r="I242" s="28">
        <v>720.06</v>
      </c>
      <c r="J242" s="28">
        <v>8949.66</v>
      </c>
    </row>
    <row r="243" spans="1:10" x14ac:dyDescent="0.25">
      <c r="A243" s="29" t="s">
        <v>41</v>
      </c>
      <c r="B243" s="29" t="s">
        <v>31</v>
      </c>
      <c r="C243" s="29" t="s">
        <v>25</v>
      </c>
      <c r="D243" s="30">
        <v>166</v>
      </c>
      <c r="E243" s="31">
        <v>189.22</v>
      </c>
      <c r="F243" s="31">
        <v>31410.52</v>
      </c>
      <c r="G243" s="31">
        <v>14401.5</v>
      </c>
      <c r="H243" s="31">
        <v>17009.02</v>
      </c>
      <c r="I243" s="31">
        <v>530.55999999999995</v>
      </c>
      <c r="J243" s="31">
        <v>30879.96</v>
      </c>
    </row>
    <row r="244" spans="1:10" x14ac:dyDescent="0.25">
      <c r="A244" s="26" t="s">
        <v>41</v>
      </c>
      <c r="B244" s="26" t="s">
        <v>31</v>
      </c>
      <c r="C244" s="26" t="s">
        <v>26</v>
      </c>
      <c r="D244" s="27">
        <v>374</v>
      </c>
      <c r="E244" s="28">
        <v>178.93</v>
      </c>
      <c r="F244" s="28">
        <v>66919.820000000007</v>
      </c>
      <c r="G244" s="28">
        <v>25103.42</v>
      </c>
      <c r="H244" s="28">
        <v>41816.400000000001</v>
      </c>
      <c r="I244" s="28">
        <v>1448.52</v>
      </c>
      <c r="J244" s="28">
        <v>65471.3</v>
      </c>
    </row>
    <row r="245" spans="1:10" x14ac:dyDescent="0.25">
      <c r="A245" s="29" t="s">
        <v>41</v>
      </c>
      <c r="B245" s="29" t="s">
        <v>31</v>
      </c>
      <c r="C245" s="29" t="s">
        <v>27</v>
      </c>
      <c r="D245" s="30">
        <v>203</v>
      </c>
      <c r="E245" s="31">
        <v>226.82</v>
      </c>
      <c r="F245" s="31">
        <v>46044.46</v>
      </c>
      <c r="G245" s="31">
        <v>16644.97</v>
      </c>
      <c r="H245" s="31">
        <v>29399.49</v>
      </c>
      <c r="I245" s="31">
        <v>3026.5</v>
      </c>
      <c r="J245" s="31">
        <v>43017.96</v>
      </c>
    </row>
    <row r="246" spans="1:10" x14ac:dyDescent="0.25">
      <c r="A246" s="26" t="s">
        <v>41</v>
      </c>
      <c r="B246" s="26" t="s">
        <v>31</v>
      </c>
      <c r="C246" s="26" t="s">
        <v>28</v>
      </c>
      <c r="D246" s="27">
        <v>200</v>
      </c>
      <c r="E246" s="28">
        <v>96.03</v>
      </c>
      <c r="F246" s="28">
        <v>19206</v>
      </c>
      <c r="G246" s="28">
        <v>8790.0400000000009</v>
      </c>
      <c r="H246" s="28">
        <v>10415.959999999999</v>
      </c>
      <c r="I246" s="28">
        <v>520.36</v>
      </c>
      <c r="J246" s="28">
        <v>18685.64</v>
      </c>
    </row>
    <row r="247" spans="1:10" x14ac:dyDescent="0.25">
      <c r="A247" s="29" t="s">
        <v>41</v>
      </c>
      <c r="B247" s="29" t="s">
        <v>32</v>
      </c>
      <c r="C247" s="29" t="s">
        <v>24</v>
      </c>
      <c r="D247" s="30">
        <v>260</v>
      </c>
      <c r="E247" s="31">
        <v>145.82</v>
      </c>
      <c r="F247" s="31">
        <v>37913.199999999997</v>
      </c>
      <c r="G247" s="31">
        <v>20781.36</v>
      </c>
      <c r="H247" s="31">
        <v>17131.84</v>
      </c>
      <c r="I247" s="31">
        <v>830.26</v>
      </c>
      <c r="J247" s="31">
        <v>37082.94</v>
      </c>
    </row>
    <row r="248" spans="1:10" x14ac:dyDescent="0.25">
      <c r="A248" s="26" t="s">
        <v>41</v>
      </c>
      <c r="B248" s="26" t="s">
        <v>32</v>
      </c>
      <c r="C248" s="26" t="s">
        <v>25</v>
      </c>
      <c r="D248" s="27">
        <v>90</v>
      </c>
      <c r="E248" s="28">
        <v>156.28</v>
      </c>
      <c r="F248" s="28">
        <v>14065.2</v>
      </c>
      <c r="G248" s="28">
        <v>6267.96</v>
      </c>
      <c r="H248" s="28">
        <v>7797.24</v>
      </c>
      <c r="I248" s="28">
        <v>813.24</v>
      </c>
      <c r="J248" s="28">
        <v>13251.96</v>
      </c>
    </row>
    <row r="249" spans="1:10" x14ac:dyDescent="0.25">
      <c r="A249" s="29" t="s">
        <v>41</v>
      </c>
      <c r="B249" s="29" t="s">
        <v>32</v>
      </c>
      <c r="C249" s="29" t="s">
        <v>26</v>
      </c>
      <c r="D249" s="30">
        <v>304</v>
      </c>
      <c r="E249" s="31">
        <v>229.08</v>
      </c>
      <c r="F249" s="31">
        <v>69640.320000000007</v>
      </c>
      <c r="G249" s="31">
        <v>26865.8</v>
      </c>
      <c r="H249" s="31">
        <v>42774.52</v>
      </c>
      <c r="I249" s="31">
        <v>2944.43</v>
      </c>
      <c r="J249" s="31">
        <v>66695.89</v>
      </c>
    </row>
    <row r="250" spans="1:10" x14ac:dyDescent="0.25">
      <c r="A250" s="26" t="s">
        <v>41</v>
      </c>
      <c r="B250" s="26" t="s">
        <v>32</v>
      </c>
      <c r="C250" s="26" t="s">
        <v>27</v>
      </c>
      <c r="D250" s="27">
        <v>180</v>
      </c>
      <c r="E250" s="28">
        <v>120.3</v>
      </c>
      <c r="F250" s="28">
        <v>21654</v>
      </c>
      <c r="G250" s="28">
        <v>11188.84</v>
      </c>
      <c r="H250" s="28">
        <v>10465.16</v>
      </c>
      <c r="I250" s="28">
        <v>1579.09</v>
      </c>
      <c r="J250" s="28">
        <v>20074.91</v>
      </c>
    </row>
    <row r="251" spans="1:10" x14ac:dyDescent="0.25">
      <c r="A251" s="29" t="s">
        <v>41</v>
      </c>
      <c r="B251" s="29" t="s">
        <v>32</v>
      </c>
      <c r="C251" s="29" t="s">
        <v>28</v>
      </c>
      <c r="D251" s="30">
        <v>288</v>
      </c>
      <c r="E251" s="31">
        <v>226.29</v>
      </c>
      <c r="F251" s="31">
        <v>65171.519999999997</v>
      </c>
      <c r="G251" s="31">
        <v>33850.26</v>
      </c>
      <c r="H251" s="31">
        <v>31321.26</v>
      </c>
      <c r="I251" s="31">
        <v>1372.4</v>
      </c>
      <c r="J251" s="31">
        <v>63799.12</v>
      </c>
    </row>
    <row r="252" spans="1:10" x14ac:dyDescent="0.25">
      <c r="A252" s="26" t="s">
        <v>42</v>
      </c>
      <c r="B252" s="26" t="s">
        <v>23</v>
      </c>
      <c r="C252" s="26" t="s">
        <v>24</v>
      </c>
      <c r="D252" s="27">
        <v>276</v>
      </c>
      <c r="E252" s="28">
        <v>236.86</v>
      </c>
      <c r="F252" s="28">
        <v>65373.36</v>
      </c>
      <c r="G252" s="28">
        <v>39022.199999999997</v>
      </c>
      <c r="H252" s="28">
        <v>26351.16</v>
      </c>
      <c r="I252" s="28">
        <v>2022.7</v>
      </c>
      <c r="J252" s="28">
        <v>63350.66</v>
      </c>
    </row>
    <row r="253" spans="1:10" x14ac:dyDescent="0.25">
      <c r="A253" s="29" t="s">
        <v>42</v>
      </c>
      <c r="B253" s="29" t="s">
        <v>23</v>
      </c>
      <c r="C253" s="29" t="s">
        <v>25</v>
      </c>
      <c r="D253" s="30">
        <v>267</v>
      </c>
      <c r="E253" s="31">
        <v>175.68</v>
      </c>
      <c r="F253" s="31">
        <v>46906.559999999998</v>
      </c>
      <c r="G253" s="31">
        <v>21774.45</v>
      </c>
      <c r="H253" s="31">
        <v>25132.11</v>
      </c>
      <c r="I253" s="31">
        <v>1461.07</v>
      </c>
      <c r="J253" s="31">
        <v>45445.49</v>
      </c>
    </row>
    <row r="254" spans="1:10" x14ac:dyDescent="0.25">
      <c r="A254" s="26" t="s">
        <v>42</v>
      </c>
      <c r="B254" s="26" t="s">
        <v>23</v>
      </c>
      <c r="C254" s="26" t="s">
        <v>26</v>
      </c>
      <c r="D254" s="27">
        <v>246</v>
      </c>
      <c r="E254" s="28">
        <v>214.8</v>
      </c>
      <c r="F254" s="28">
        <v>52840.800000000003</v>
      </c>
      <c r="G254" s="28">
        <v>19903.189999999999</v>
      </c>
      <c r="H254" s="28">
        <v>32937.61</v>
      </c>
      <c r="I254" s="28">
        <v>1939.02</v>
      </c>
      <c r="J254" s="28">
        <v>50901.78</v>
      </c>
    </row>
    <row r="255" spans="1:10" x14ac:dyDescent="0.25">
      <c r="A255" s="29" t="s">
        <v>42</v>
      </c>
      <c r="B255" s="29" t="s">
        <v>23</v>
      </c>
      <c r="C255" s="29" t="s">
        <v>27</v>
      </c>
      <c r="D255" s="30">
        <v>233</v>
      </c>
      <c r="E255" s="31">
        <v>147.94999999999999</v>
      </c>
      <c r="F255" s="31">
        <v>34472.35</v>
      </c>
      <c r="G255" s="31">
        <v>20620.43</v>
      </c>
      <c r="H255" s="31">
        <v>13851.92</v>
      </c>
      <c r="I255" s="31">
        <v>1057.1300000000001</v>
      </c>
      <c r="J255" s="31">
        <v>33415.22</v>
      </c>
    </row>
    <row r="256" spans="1:10" x14ac:dyDescent="0.25">
      <c r="A256" s="26" t="s">
        <v>42</v>
      </c>
      <c r="B256" s="26" t="s">
        <v>23</v>
      </c>
      <c r="C256" s="26" t="s">
        <v>28</v>
      </c>
      <c r="D256" s="27">
        <v>474</v>
      </c>
      <c r="E256" s="28">
        <v>167.98</v>
      </c>
      <c r="F256" s="28">
        <v>79622.52</v>
      </c>
      <c r="G256" s="28">
        <v>33331.589999999997</v>
      </c>
      <c r="H256" s="28">
        <v>46290.93</v>
      </c>
      <c r="I256" s="28">
        <v>3950.47</v>
      </c>
      <c r="J256" s="28">
        <v>75672.05</v>
      </c>
    </row>
    <row r="257" spans="1:10" x14ac:dyDescent="0.25">
      <c r="A257" s="29" t="s">
        <v>42</v>
      </c>
      <c r="B257" s="29" t="s">
        <v>29</v>
      </c>
      <c r="C257" s="29" t="s">
        <v>24</v>
      </c>
      <c r="D257" s="30">
        <v>401</v>
      </c>
      <c r="E257" s="31">
        <v>196.79</v>
      </c>
      <c r="F257" s="31">
        <v>78912.789999999994</v>
      </c>
      <c r="G257" s="31">
        <v>46826.91</v>
      </c>
      <c r="H257" s="31">
        <v>32085.88</v>
      </c>
      <c r="I257" s="31">
        <v>5819.28</v>
      </c>
      <c r="J257" s="31">
        <v>73093.509999999995</v>
      </c>
    </row>
    <row r="258" spans="1:10" x14ac:dyDescent="0.25">
      <c r="A258" s="26" t="s">
        <v>42</v>
      </c>
      <c r="B258" s="26" t="s">
        <v>29</v>
      </c>
      <c r="C258" s="26" t="s">
        <v>25</v>
      </c>
      <c r="D258" s="27">
        <v>431</v>
      </c>
      <c r="E258" s="28">
        <v>129.21</v>
      </c>
      <c r="F258" s="28">
        <v>55689.51</v>
      </c>
      <c r="G258" s="28">
        <v>32079.32</v>
      </c>
      <c r="H258" s="28">
        <v>23610.19</v>
      </c>
      <c r="I258" s="28">
        <v>1672.56</v>
      </c>
      <c r="J258" s="28">
        <v>54016.95</v>
      </c>
    </row>
    <row r="259" spans="1:10" x14ac:dyDescent="0.25">
      <c r="A259" s="29" t="s">
        <v>42</v>
      </c>
      <c r="B259" s="29" t="s">
        <v>29</v>
      </c>
      <c r="C259" s="29" t="s">
        <v>26</v>
      </c>
      <c r="D259" s="30">
        <v>459</v>
      </c>
      <c r="E259" s="31">
        <v>65.23</v>
      </c>
      <c r="F259" s="31">
        <v>29940.57</v>
      </c>
      <c r="G259" s="31">
        <v>16481.77</v>
      </c>
      <c r="H259" s="31">
        <v>13458.8</v>
      </c>
      <c r="I259" s="31">
        <v>758.4</v>
      </c>
      <c r="J259" s="31">
        <v>29182.17</v>
      </c>
    </row>
    <row r="260" spans="1:10" x14ac:dyDescent="0.25">
      <c r="A260" s="26" t="s">
        <v>42</v>
      </c>
      <c r="B260" s="26" t="s">
        <v>29</v>
      </c>
      <c r="C260" s="26" t="s">
        <v>27</v>
      </c>
      <c r="D260" s="27">
        <v>147</v>
      </c>
      <c r="E260" s="28">
        <v>159.01</v>
      </c>
      <c r="F260" s="28">
        <v>23374.47</v>
      </c>
      <c r="G260" s="28">
        <v>12141.66</v>
      </c>
      <c r="H260" s="28">
        <v>11232.81</v>
      </c>
      <c r="I260" s="28">
        <v>1413.34</v>
      </c>
      <c r="J260" s="28">
        <v>21961.13</v>
      </c>
    </row>
    <row r="261" spans="1:10" x14ac:dyDescent="0.25">
      <c r="A261" s="29" t="s">
        <v>42</v>
      </c>
      <c r="B261" s="29" t="s">
        <v>29</v>
      </c>
      <c r="C261" s="29" t="s">
        <v>28</v>
      </c>
      <c r="D261" s="30">
        <v>387</v>
      </c>
      <c r="E261" s="31">
        <v>173.41</v>
      </c>
      <c r="F261" s="31">
        <v>67109.67</v>
      </c>
      <c r="G261" s="31">
        <v>25783.19</v>
      </c>
      <c r="H261" s="31">
        <v>41326.480000000003</v>
      </c>
      <c r="I261" s="31">
        <v>1127.54</v>
      </c>
      <c r="J261" s="31">
        <v>65982.13</v>
      </c>
    </row>
    <row r="262" spans="1:10" x14ac:dyDescent="0.25">
      <c r="A262" s="26" t="s">
        <v>42</v>
      </c>
      <c r="B262" s="26" t="s">
        <v>30</v>
      </c>
      <c r="C262" s="26" t="s">
        <v>24</v>
      </c>
      <c r="D262" s="27">
        <v>371</v>
      </c>
      <c r="E262" s="28">
        <v>165.12</v>
      </c>
      <c r="F262" s="28">
        <v>61259.519999999997</v>
      </c>
      <c r="G262" s="28">
        <v>26172.1</v>
      </c>
      <c r="H262" s="28">
        <v>35087.42</v>
      </c>
      <c r="I262" s="28">
        <v>2502.92</v>
      </c>
      <c r="J262" s="28">
        <v>58756.6</v>
      </c>
    </row>
    <row r="263" spans="1:10" x14ac:dyDescent="0.25">
      <c r="A263" s="29" t="s">
        <v>42</v>
      </c>
      <c r="B263" s="29" t="s">
        <v>30</v>
      </c>
      <c r="C263" s="29" t="s">
        <v>25</v>
      </c>
      <c r="D263" s="30">
        <v>346</v>
      </c>
      <c r="E263" s="31">
        <v>97.57</v>
      </c>
      <c r="F263" s="31">
        <v>33759.22</v>
      </c>
      <c r="G263" s="31">
        <v>12924.82</v>
      </c>
      <c r="H263" s="31">
        <v>20834.400000000001</v>
      </c>
      <c r="I263" s="31">
        <v>2487.17</v>
      </c>
      <c r="J263" s="31">
        <v>31272.05</v>
      </c>
    </row>
    <row r="264" spans="1:10" x14ac:dyDescent="0.25">
      <c r="A264" s="26" t="s">
        <v>42</v>
      </c>
      <c r="B264" s="26" t="s">
        <v>30</v>
      </c>
      <c r="C264" s="26" t="s">
        <v>26</v>
      </c>
      <c r="D264" s="27">
        <v>217</v>
      </c>
      <c r="E264" s="28">
        <v>189.4</v>
      </c>
      <c r="F264" s="28">
        <v>41099.800000000003</v>
      </c>
      <c r="G264" s="28">
        <v>16189.62</v>
      </c>
      <c r="H264" s="28">
        <v>24910.18</v>
      </c>
      <c r="I264" s="28">
        <v>791.22</v>
      </c>
      <c r="J264" s="28">
        <v>40308.58</v>
      </c>
    </row>
    <row r="265" spans="1:10" x14ac:dyDescent="0.25">
      <c r="A265" s="29" t="s">
        <v>42</v>
      </c>
      <c r="B265" s="29" t="s">
        <v>30</v>
      </c>
      <c r="C265" s="29" t="s">
        <v>27</v>
      </c>
      <c r="D265" s="30">
        <v>326</v>
      </c>
      <c r="E265" s="31">
        <v>220.35</v>
      </c>
      <c r="F265" s="31">
        <v>71834.100000000006</v>
      </c>
      <c r="G265" s="31">
        <v>31712.2</v>
      </c>
      <c r="H265" s="31">
        <v>40121.9</v>
      </c>
      <c r="I265" s="31">
        <v>3241.56</v>
      </c>
      <c r="J265" s="31">
        <v>68592.539999999994</v>
      </c>
    </row>
    <row r="266" spans="1:10" x14ac:dyDescent="0.25">
      <c r="A266" s="26" t="s">
        <v>42</v>
      </c>
      <c r="B266" s="26" t="s">
        <v>30</v>
      </c>
      <c r="C266" s="26" t="s">
        <v>28</v>
      </c>
      <c r="D266" s="27">
        <v>189</v>
      </c>
      <c r="E266" s="28">
        <v>209.31</v>
      </c>
      <c r="F266" s="28">
        <v>39559.589999999997</v>
      </c>
      <c r="G266" s="28">
        <v>16387.259999999998</v>
      </c>
      <c r="H266" s="28">
        <v>23172.33</v>
      </c>
      <c r="I266" s="28">
        <v>2679.3</v>
      </c>
      <c r="J266" s="28">
        <v>36880.29</v>
      </c>
    </row>
    <row r="267" spans="1:10" x14ac:dyDescent="0.25">
      <c r="A267" s="29" t="s">
        <v>42</v>
      </c>
      <c r="B267" s="29" t="s">
        <v>31</v>
      </c>
      <c r="C267" s="29" t="s">
        <v>24</v>
      </c>
      <c r="D267" s="30">
        <v>296</v>
      </c>
      <c r="E267" s="31">
        <v>242.17</v>
      </c>
      <c r="F267" s="31">
        <v>71682.320000000007</v>
      </c>
      <c r="G267" s="31">
        <v>30377.919999999998</v>
      </c>
      <c r="H267" s="31">
        <v>41304.400000000001</v>
      </c>
      <c r="I267" s="31">
        <v>5084.2700000000004</v>
      </c>
      <c r="J267" s="31">
        <v>66598.05</v>
      </c>
    </row>
    <row r="268" spans="1:10" x14ac:dyDescent="0.25">
      <c r="A268" s="26" t="s">
        <v>42</v>
      </c>
      <c r="B268" s="26" t="s">
        <v>31</v>
      </c>
      <c r="C268" s="26" t="s">
        <v>25</v>
      </c>
      <c r="D268" s="27">
        <v>461</v>
      </c>
      <c r="E268" s="28">
        <v>37.64</v>
      </c>
      <c r="F268" s="28">
        <v>17352.04</v>
      </c>
      <c r="G268" s="28">
        <v>10250.25</v>
      </c>
      <c r="H268" s="28">
        <v>7101.79</v>
      </c>
      <c r="I268" s="28">
        <v>344.49</v>
      </c>
      <c r="J268" s="28">
        <v>17007.55</v>
      </c>
    </row>
    <row r="269" spans="1:10" x14ac:dyDescent="0.25">
      <c r="A269" s="29" t="s">
        <v>42</v>
      </c>
      <c r="B269" s="29" t="s">
        <v>31</v>
      </c>
      <c r="C269" s="29" t="s">
        <v>26</v>
      </c>
      <c r="D269" s="30">
        <v>165</v>
      </c>
      <c r="E269" s="31">
        <v>216.43</v>
      </c>
      <c r="F269" s="31">
        <v>35710.949999999997</v>
      </c>
      <c r="G269" s="31">
        <v>18964.45</v>
      </c>
      <c r="H269" s="31">
        <v>16746.5</v>
      </c>
      <c r="I269" s="31">
        <v>2806.74</v>
      </c>
      <c r="J269" s="31">
        <v>32904.21</v>
      </c>
    </row>
    <row r="270" spans="1:10" x14ac:dyDescent="0.25">
      <c r="A270" s="26" t="s">
        <v>42</v>
      </c>
      <c r="B270" s="26" t="s">
        <v>31</v>
      </c>
      <c r="C270" s="26" t="s">
        <v>27</v>
      </c>
      <c r="D270" s="27">
        <v>483</v>
      </c>
      <c r="E270" s="28">
        <v>203.1</v>
      </c>
      <c r="F270" s="28">
        <v>98097.3</v>
      </c>
      <c r="G270" s="28">
        <v>43304.44</v>
      </c>
      <c r="H270" s="28">
        <v>54792.86</v>
      </c>
      <c r="I270" s="28">
        <v>6410.44</v>
      </c>
      <c r="J270" s="28">
        <v>91686.86</v>
      </c>
    </row>
    <row r="271" spans="1:10" x14ac:dyDescent="0.25">
      <c r="A271" s="29" t="s">
        <v>42</v>
      </c>
      <c r="B271" s="29" t="s">
        <v>31</v>
      </c>
      <c r="C271" s="29" t="s">
        <v>28</v>
      </c>
      <c r="D271" s="30">
        <v>57</v>
      </c>
      <c r="E271" s="31">
        <v>73.47</v>
      </c>
      <c r="F271" s="31">
        <v>4187.79</v>
      </c>
      <c r="G271" s="31">
        <v>1595.12</v>
      </c>
      <c r="H271" s="31">
        <v>2592.67</v>
      </c>
      <c r="I271" s="31">
        <v>149.93</v>
      </c>
      <c r="J271" s="31">
        <v>4037.86</v>
      </c>
    </row>
    <row r="272" spans="1:10" x14ac:dyDescent="0.25">
      <c r="A272" s="26" t="s">
        <v>42</v>
      </c>
      <c r="B272" s="26" t="s">
        <v>32</v>
      </c>
      <c r="C272" s="26" t="s">
        <v>24</v>
      </c>
      <c r="D272" s="27">
        <v>433</v>
      </c>
      <c r="E272" s="28">
        <v>171.36</v>
      </c>
      <c r="F272" s="28">
        <v>74198.880000000005</v>
      </c>
      <c r="G272" s="28">
        <v>36813.03</v>
      </c>
      <c r="H272" s="28">
        <v>37385.85</v>
      </c>
      <c r="I272" s="28">
        <v>5013.5600000000004</v>
      </c>
      <c r="J272" s="28">
        <v>69185.320000000007</v>
      </c>
    </row>
    <row r="273" spans="1:10" x14ac:dyDescent="0.25">
      <c r="A273" s="29" t="s">
        <v>42</v>
      </c>
      <c r="B273" s="29" t="s">
        <v>32</v>
      </c>
      <c r="C273" s="29" t="s">
        <v>25</v>
      </c>
      <c r="D273" s="30">
        <v>240</v>
      </c>
      <c r="E273" s="31">
        <v>36</v>
      </c>
      <c r="F273" s="31">
        <v>8640</v>
      </c>
      <c r="G273" s="31">
        <v>3529.06</v>
      </c>
      <c r="H273" s="31">
        <v>5110.9399999999996</v>
      </c>
      <c r="I273" s="31">
        <v>101.53</v>
      </c>
      <c r="J273" s="31">
        <v>8538.4699999999993</v>
      </c>
    </row>
    <row r="274" spans="1:10" x14ac:dyDescent="0.25">
      <c r="A274" s="26" t="s">
        <v>42</v>
      </c>
      <c r="B274" s="26" t="s">
        <v>32</v>
      </c>
      <c r="C274" s="26" t="s">
        <v>26</v>
      </c>
      <c r="D274" s="27">
        <v>337</v>
      </c>
      <c r="E274" s="28">
        <v>88.72</v>
      </c>
      <c r="F274" s="28">
        <v>29898.639999999999</v>
      </c>
      <c r="G274" s="28">
        <v>15024.68</v>
      </c>
      <c r="H274" s="28">
        <v>14873.96</v>
      </c>
      <c r="I274" s="28">
        <v>1654.46</v>
      </c>
      <c r="J274" s="28">
        <v>28244.18</v>
      </c>
    </row>
    <row r="275" spans="1:10" x14ac:dyDescent="0.25">
      <c r="A275" s="29" t="s">
        <v>42</v>
      </c>
      <c r="B275" s="29" t="s">
        <v>32</v>
      </c>
      <c r="C275" s="29" t="s">
        <v>27</v>
      </c>
      <c r="D275" s="30">
        <v>375</v>
      </c>
      <c r="E275" s="31">
        <v>207.73</v>
      </c>
      <c r="F275" s="31">
        <v>77898.75</v>
      </c>
      <c r="G275" s="31">
        <v>44974.6</v>
      </c>
      <c r="H275" s="31">
        <v>32924.15</v>
      </c>
      <c r="I275" s="31">
        <v>2426.8000000000002</v>
      </c>
      <c r="J275" s="31">
        <v>75471.95</v>
      </c>
    </row>
    <row r="276" spans="1:10" x14ac:dyDescent="0.25">
      <c r="A276" s="26" t="s">
        <v>42</v>
      </c>
      <c r="B276" s="26" t="s">
        <v>32</v>
      </c>
      <c r="C276" s="26" t="s">
        <v>28</v>
      </c>
      <c r="D276" s="27">
        <v>259</v>
      </c>
      <c r="E276" s="28">
        <v>38</v>
      </c>
      <c r="F276" s="28">
        <v>9842</v>
      </c>
      <c r="G276" s="28">
        <v>3556.28</v>
      </c>
      <c r="H276" s="28">
        <v>6285.72</v>
      </c>
      <c r="I276" s="28">
        <v>124.06</v>
      </c>
      <c r="J276" s="28">
        <v>9717.94</v>
      </c>
    </row>
    <row r="277" spans="1:10" x14ac:dyDescent="0.25">
      <c r="A277" s="29" t="s">
        <v>43</v>
      </c>
      <c r="B277" s="29" t="s">
        <v>23</v>
      </c>
      <c r="C277" s="29" t="s">
        <v>24</v>
      </c>
      <c r="D277" s="30">
        <v>302</v>
      </c>
      <c r="E277" s="31">
        <v>37.869999999999997</v>
      </c>
      <c r="F277" s="31">
        <v>11436.74</v>
      </c>
      <c r="G277" s="31">
        <v>4674.2</v>
      </c>
      <c r="H277" s="31">
        <v>6762.54</v>
      </c>
      <c r="I277" s="31">
        <v>544.71</v>
      </c>
      <c r="J277" s="31">
        <v>10892.03</v>
      </c>
    </row>
    <row r="278" spans="1:10" x14ac:dyDescent="0.25">
      <c r="A278" s="26" t="s">
        <v>43</v>
      </c>
      <c r="B278" s="26" t="s">
        <v>23</v>
      </c>
      <c r="C278" s="26" t="s">
        <v>25</v>
      </c>
      <c r="D278" s="27">
        <v>248</v>
      </c>
      <c r="E278" s="28">
        <v>118.87</v>
      </c>
      <c r="F278" s="28">
        <v>29479.759999999998</v>
      </c>
      <c r="G278" s="28">
        <v>15259.36</v>
      </c>
      <c r="H278" s="28">
        <v>14220.4</v>
      </c>
      <c r="I278" s="28">
        <v>1828.33</v>
      </c>
      <c r="J278" s="28">
        <v>27651.43</v>
      </c>
    </row>
    <row r="279" spans="1:10" x14ac:dyDescent="0.25">
      <c r="A279" s="29" t="s">
        <v>43</v>
      </c>
      <c r="B279" s="29" t="s">
        <v>23</v>
      </c>
      <c r="C279" s="29" t="s">
        <v>26</v>
      </c>
      <c r="D279" s="30">
        <v>326</v>
      </c>
      <c r="E279" s="31">
        <v>110.59</v>
      </c>
      <c r="F279" s="31">
        <v>36052.339999999997</v>
      </c>
      <c r="G279" s="31">
        <v>19308.45</v>
      </c>
      <c r="H279" s="31">
        <v>16743.89</v>
      </c>
      <c r="I279" s="31">
        <v>750.49</v>
      </c>
      <c r="J279" s="31">
        <v>35301.85</v>
      </c>
    </row>
    <row r="280" spans="1:10" x14ac:dyDescent="0.25">
      <c r="A280" s="26" t="s">
        <v>43</v>
      </c>
      <c r="B280" s="26" t="s">
        <v>23</v>
      </c>
      <c r="C280" s="26" t="s">
        <v>27</v>
      </c>
      <c r="D280" s="27">
        <v>262</v>
      </c>
      <c r="E280" s="28">
        <v>167.18</v>
      </c>
      <c r="F280" s="28">
        <v>43801.16</v>
      </c>
      <c r="G280" s="28">
        <v>24459.59</v>
      </c>
      <c r="H280" s="28">
        <v>19341.57</v>
      </c>
      <c r="I280" s="28">
        <v>2325.65</v>
      </c>
      <c r="J280" s="28">
        <v>41475.51</v>
      </c>
    </row>
    <row r="281" spans="1:10" x14ac:dyDescent="0.25">
      <c r="A281" s="29" t="s">
        <v>43</v>
      </c>
      <c r="B281" s="29" t="s">
        <v>23</v>
      </c>
      <c r="C281" s="29" t="s">
        <v>28</v>
      </c>
      <c r="D281" s="30">
        <v>193</v>
      </c>
      <c r="E281" s="31">
        <v>17.850000000000001</v>
      </c>
      <c r="F281" s="31">
        <v>3445.05</v>
      </c>
      <c r="G281" s="31">
        <v>1524.89</v>
      </c>
      <c r="H281" s="31">
        <v>1920.16</v>
      </c>
      <c r="I281" s="31">
        <v>141.37</v>
      </c>
      <c r="J281" s="31">
        <v>3303.68</v>
      </c>
    </row>
    <row r="282" spans="1:10" x14ac:dyDescent="0.25">
      <c r="A282" s="26" t="s">
        <v>43</v>
      </c>
      <c r="B282" s="26" t="s">
        <v>29</v>
      </c>
      <c r="C282" s="26" t="s">
        <v>24</v>
      </c>
      <c r="D282" s="27">
        <v>170</v>
      </c>
      <c r="E282" s="28">
        <v>215.31</v>
      </c>
      <c r="F282" s="28">
        <v>36602.699999999997</v>
      </c>
      <c r="G282" s="28">
        <v>13720.11</v>
      </c>
      <c r="H282" s="28">
        <v>22882.59</v>
      </c>
      <c r="I282" s="28">
        <v>2122.87</v>
      </c>
      <c r="J282" s="28">
        <v>34479.83</v>
      </c>
    </row>
    <row r="283" spans="1:10" x14ac:dyDescent="0.25">
      <c r="A283" s="29" t="s">
        <v>43</v>
      </c>
      <c r="B283" s="29" t="s">
        <v>29</v>
      </c>
      <c r="C283" s="29" t="s">
        <v>25</v>
      </c>
      <c r="D283" s="30">
        <v>328</v>
      </c>
      <c r="E283" s="31">
        <v>226.41</v>
      </c>
      <c r="F283" s="31">
        <v>74262.48</v>
      </c>
      <c r="G283" s="31">
        <v>37963.480000000003</v>
      </c>
      <c r="H283" s="31">
        <v>36299</v>
      </c>
      <c r="I283" s="31">
        <v>1057.3900000000001</v>
      </c>
      <c r="J283" s="31">
        <v>73205.09</v>
      </c>
    </row>
    <row r="284" spans="1:10" x14ac:dyDescent="0.25">
      <c r="A284" s="26" t="s">
        <v>43</v>
      </c>
      <c r="B284" s="26" t="s">
        <v>29</v>
      </c>
      <c r="C284" s="26" t="s">
        <v>26</v>
      </c>
      <c r="D284" s="27">
        <v>191</v>
      </c>
      <c r="E284" s="28">
        <v>55.55</v>
      </c>
      <c r="F284" s="28">
        <v>10610.05</v>
      </c>
      <c r="G284" s="28">
        <v>4037.55</v>
      </c>
      <c r="H284" s="28">
        <v>6572.5</v>
      </c>
      <c r="I284" s="28">
        <v>735.94</v>
      </c>
      <c r="J284" s="28">
        <v>9874.11</v>
      </c>
    </row>
    <row r="285" spans="1:10" x14ac:dyDescent="0.25">
      <c r="A285" s="29" t="s">
        <v>43</v>
      </c>
      <c r="B285" s="29" t="s">
        <v>29</v>
      </c>
      <c r="C285" s="29" t="s">
        <v>27</v>
      </c>
      <c r="D285" s="30">
        <v>282</v>
      </c>
      <c r="E285" s="31">
        <v>32</v>
      </c>
      <c r="F285" s="31">
        <v>9024</v>
      </c>
      <c r="G285" s="31">
        <v>3636.91</v>
      </c>
      <c r="H285" s="31">
        <v>5387.09</v>
      </c>
      <c r="I285" s="31">
        <v>494.19</v>
      </c>
      <c r="J285" s="31">
        <v>8529.81</v>
      </c>
    </row>
    <row r="286" spans="1:10" x14ac:dyDescent="0.25">
      <c r="A286" s="26" t="s">
        <v>43</v>
      </c>
      <c r="B286" s="26" t="s">
        <v>29</v>
      </c>
      <c r="C286" s="26" t="s">
        <v>28</v>
      </c>
      <c r="D286" s="27">
        <v>60</v>
      </c>
      <c r="E286" s="28">
        <v>22.14</v>
      </c>
      <c r="F286" s="28">
        <v>1328.4</v>
      </c>
      <c r="G286" s="28">
        <v>575.70000000000005</v>
      </c>
      <c r="H286" s="28">
        <v>752.7</v>
      </c>
      <c r="I286" s="28">
        <v>105.23</v>
      </c>
      <c r="J286" s="28">
        <v>1223.17</v>
      </c>
    </row>
    <row r="287" spans="1:10" x14ac:dyDescent="0.25">
      <c r="A287" s="29" t="s">
        <v>43</v>
      </c>
      <c r="B287" s="29" t="s">
        <v>30</v>
      </c>
      <c r="C287" s="29" t="s">
        <v>24</v>
      </c>
      <c r="D287" s="30">
        <v>452</v>
      </c>
      <c r="E287" s="31">
        <v>145.5</v>
      </c>
      <c r="F287" s="31">
        <v>65766</v>
      </c>
      <c r="G287" s="31">
        <v>24146.15</v>
      </c>
      <c r="H287" s="31">
        <v>41619.85</v>
      </c>
      <c r="I287" s="31">
        <v>4180.1499999999996</v>
      </c>
      <c r="J287" s="31">
        <v>61585.85</v>
      </c>
    </row>
    <row r="288" spans="1:10" x14ac:dyDescent="0.25">
      <c r="A288" s="26" t="s">
        <v>43</v>
      </c>
      <c r="B288" s="26" t="s">
        <v>30</v>
      </c>
      <c r="C288" s="26" t="s">
        <v>25</v>
      </c>
      <c r="D288" s="27">
        <v>156</v>
      </c>
      <c r="E288" s="28">
        <v>150.72999999999999</v>
      </c>
      <c r="F288" s="28">
        <v>23513.88</v>
      </c>
      <c r="G288" s="28">
        <v>13009.37</v>
      </c>
      <c r="H288" s="28">
        <v>10504.51</v>
      </c>
      <c r="I288" s="28">
        <v>618.65</v>
      </c>
      <c r="J288" s="28">
        <v>22895.23</v>
      </c>
    </row>
    <row r="289" spans="1:10" x14ac:dyDescent="0.25">
      <c r="A289" s="29" t="s">
        <v>43</v>
      </c>
      <c r="B289" s="29" t="s">
        <v>30</v>
      </c>
      <c r="C289" s="29" t="s">
        <v>26</v>
      </c>
      <c r="D289" s="30">
        <v>446</v>
      </c>
      <c r="E289" s="31">
        <v>45.41</v>
      </c>
      <c r="F289" s="31">
        <v>20252.86</v>
      </c>
      <c r="G289" s="31">
        <v>11648.08</v>
      </c>
      <c r="H289" s="31">
        <v>8604.7800000000007</v>
      </c>
      <c r="I289" s="31">
        <v>206.55</v>
      </c>
      <c r="J289" s="31">
        <v>20046.310000000001</v>
      </c>
    </row>
    <row r="290" spans="1:10" x14ac:dyDescent="0.25">
      <c r="A290" s="26" t="s">
        <v>43</v>
      </c>
      <c r="B290" s="26" t="s">
        <v>30</v>
      </c>
      <c r="C290" s="26" t="s">
        <v>27</v>
      </c>
      <c r="D290" s="27">
        <v>489</v>
      </c>
      <c r="E290" s="28">
        <v>246.17</v>
      </c>
      <c r="F290" s="28">
        <v>120377.13</v>
      </c>
      <c r="G290" s="28">
        <v>71850.92</v>
      </c>
      <c r="H290" s="28">
        <v>48526.21</v>
      </c>
      <c r="I290" s="28">
        <v>5755.84</v>
      </c>
      <c r="J290" s="28">
        <v>114621.29</v>
      </c>
    </row>
    <row r="291" spans="1:10" x14ac:dyDescent="0.25">
      <c r="A291" s="29" t="s">
        <v>43</v>
      </c>
      <c r="B291" s="29" t="s">
        <v>30</v>
      </c>
      <c r="C291" s="29" t="s">
        <v>28</v>
      </c>
      <c r="D291" s="30">
        <v>458</v>
      </c>
      <c r="E291" s="31">
        <v>51.88</v>
      </c>
      <c r="F291" s="31">
        <v>23761.040000000001</v>
      </c>
      <c r="G291" s="31">
        <v>12243.22</v>
      </c>
      <c r="H291" s="31">
        <v>11517.82</v>
      </c>
      <c r="I291" s="31">
        <v>280.49</v>
      </c>
      <c r="J291" s="31">
        <v>23480.55</v>
      </c>
    </row>
    <row r="292" spans="1:10" x14ac:dyDescent="0.25">
      <c r="A292" s="26" t="s">
        <v>43</v>
      </c>
      <c r="B292" s="26" t="s">
        <v>31</v>
      </c>
      <c r="C292" s="26" t="s">
        <v>24</v>
      </c>
      <c r="D292" s="27">
        <v>57</v>
      </c>
      <c r="E292" s="28">
        <v>95.98</v>
      </c>
      <c r="F292" s="28">
        <v>5470.86</v>
      </c>
      <c r="G292" s="28">
        <v>2993.15</v>
      </c>
      <c r="H292" s="28">
        <v>2477.71</v>
      </c>
      <c r="I292" s="28">
        <v>280.22000000000003</v>
      </c>
      <c r="J292" s="28">
        <v>5190.6400000000003</v>
      </c>
    </row>
    <row r="293" spans="1:10" x14ac:dyDescent="0.25">
      <c r="A293" s="29" t="s">
        <v>43</v>
      </c>
      <c r="B293" s="29" t="s">
        <v>31</v>
      </c>
      <c r="C293" s="29" t="s">
        <v>25</v>
      </c>
      <c r="D293" s="30">
        <v>58</v>
      </c>
      <c r="E293" s="31">
        <v>51.82</v>
      </c>
      <c r="F293" s="31">
        <v>3005.56</v>
      </c>
      <c r="G293" s="31">
        <v>1091.32</v>
      </c>
      <c r="H293" s="31">
        <v>1914.24</v>
      </c>
      <c r="I293" s="31">
        <v>186.11</v>
      </c>
      <c r="J293" s="31">
        <v>2819.45</v>
      </c>
    </row>
    <row r="294" spans="1:10" x14ac:dyDescent="0.25">
      <c r="A294" s="26" t="s">
        <v>43</v>
      </c>
      <c r="B294" s="26" t="s">
        <v>31</v>
      </c>
      <c r="C294" s="26" t="s">
        <v>26</v>
      </c>
      <c r="D294" s="27">
        <v>319</v>
      </c>
      <c r="E294" s="28">
        <v>37.28</v>
      </c>
      <c r="F294" s="28">
        <v>11892.32</v>
      </c>
      <c r="G294" s="28">
        <v>4351.28</v>
      </c>
      <c r="H294" s="28">
        <v>7541.04</v>
      </c>
      <c r="I294" s="28">
        <v>492.1</v>
      </c>
      <c r="J294" s="28">
        <v>11400.22</v>
      </c>
    </row>
    <row r="295" spans="1:10" x14ac:dyDescent="0.25">
      <c r="A295" s="29" t="s">
        <v>43</v>
      </c>
      <c r="B295" s="29" t="s">
        <v>31</v>
      </c>
      <c r="C295" s="29" t="s">
        <v>27</v>
      </c>
      <c r="D295" s="30">
        <v>235</v>
      </c>
      <c r="E295" s="31">
        <v>133.18</v>
      </c>
      <c r="F295" s="31">
        <v>31297.3</v>
      </c>
      <c r="G295" s="31">
        <v>11807.33</v>
      </c>
      <c r="H295" s="31">
        <v>19489.97</v>
      </c>
      <c r="I295" s="31">
        <v>1416.79</v>
      </c>
      <c r="J295" s="31">
        <v>29880.51</v>
      </c>
    </row>
    <row r="296" spans="1:10" x14ac:dyDescent="0.25">
      <c r="A296" s="26" t="s">
        <v>43</v>
      </c>
      <c r="B296" s="26" t="s">
        <v>31</v>
      </c>
      <c r="C296" s="26" t="s">
        <v>28</v>
      </c>
      <c r="D296" s="27">
        <v>364</v>
      </c>
      <c r="E296" s="28">
        <v>20.41</v>
      </c>
      <c r="F296" s="28">
        <v>7429.24</v>
      </c>
      <c r="G296" s="28">
        <v>4054.93</v>
      </c>
      <c r="H296" s="28">
        <v>3374.31</v>
      </c>
      <c r="I296" s="28">
        <v>525.16</v>
      </c>
      <c r="J296" s="28">
        <v>6904.08</v>
      </c>
    </row>
    <row r="297" spans="1:10" x14ac:dyDescent="0.25">
      <c r="A297" s="29" t="s">
        <v>43</v>
      </c>
      <c r="B297" s="29" t="s">
        <v>32</v>
      </c>
      <c r="C297" s="29" t="s">
        <v>24</v>
      </c>
      <c r="D297" s="30">
        <v>316</v>
      </c>
      <c r="E297" s="31">
        <v>82.39</v>
      </c>
      <c r="F297" s="31">
        <v>26035.24</v>
      </c>
      <c r="G297" s="31">
        <v>13299.72</v>
      </c>
      <c r="H297" s="31">
        <v>12735.52</v>
      </c>
      <c r="I297" s="31">
        <v>317.12</v>
      </c>
      <c r="J297" s="31">
        <v>25718.12</v>
      </c>
    </row>
    <row r="298" spans="1:10" x14ac:dyDescent="0.25">
      <c r="A298" s="26" t="s">
        <v>43</v>
      </c>
      <c r="B298" s="26" t="s">
        <v>32</v>
      </c>
      <c r="C298" s="26" t="s">
        <v>25</v>
      </c>
      <c r="D298" s="27">
        <v>295</v>
      </c>
      <c r="E298" s="28">
        <v>213.35</v>
      </c>
      <c r="F298" s="28">
        <v>62938.25</v>
      </c>
      <c r="G298" s="28">
        <v>28735.62</v>
      </c>
      <c r="H298" s="28">
        <v>34202.629999999997</v>
      </c>
      <c r="I298" s="28">
        <v>1105.03</v>
      </c>
      <c r="J298" s="28">
        <v>61833.22</v>
      </c>
    </row>
    <row r="299" spans="1:10" x14ac:dyDescent="0.25">
      <c r="A299" s="29" t="s">
        <v>43</v>
      </c>
      <c r="B299" s="29" t="s">
        <v>32</v>
      </c>
      <c r="C299" s="29" t="s">
        <v>26</v>
      </c>
      <c r="D299" s="30">
        <v>414</v>
      </c>
      <c r="E299" s="31">
        <v>228.33</v>
      </c>
      <c r="F299" s="31">
        <v>94528.62</v>
      </c>
      <c r="G299" s="31">
        <v>34821.760000000002</v>
      </c>
      <c r="H299" s="31">
        <v>59706.86</v>
      </c>
      <c r="I299" s="31">
        <v>1479.88</v>
      </c>
      <c r="J299" s="31">
        <v>93048.74</v>
      </c>
    </row>
    <row r="300" spans="1:10" x14ac:dyDescent="0.25">
      <c r="A300" s="26" t="s">
        <v>43</v>
      </c>
      <c r="B300" s="26" t="s">
        <v>32</v>
      </c>
      <c r="C300" s="26" t="s">
        <v>27</v>
      </c>
      <c r="D300" s="27">
        <v>361</v>
      </c>
      <c r="E300" s="28">
        <v>45.6</v>
      </c>
      <c r="F300" s="28">
        <v>16461.599999999999</v>
      </c>
      <c r="G300" s="28">
        <v>6280.89</v>
      </c>
      <c r="H300" s="28">
        <v>10180.709999999999</v>
      </c>
      <c r="I300" s="28">
        <v>884.02</v>
      </c>
      <c r="J300" s="28">
        <v>15577.58</v>
      </c>
    </row>
    <row r="301" spans="1:10" x14ac:dyDescent="0.25">
      <c r="A301" s="29" t="s">
        <v>43</v>
      </c>
      <c r="B301" s="29" t="s">
        <v>32</v>
      </c>
      <c r="C301" s="29" t="s">
        <v>28</v>
      </c>
      <c r="D301" s="30">
        <v>349</v>
      </c>
      <c r="E301" s="31">
        <v>141.61000000000001</v>
      </c>
      <c r="F301" s="31">
        <v>49421.89</v>
      </c>
      <c r="G301" s="31">
        <v>21315.48</v>
      </c>
      <c r="H301" s="31">
        <v>28106.41</v>
      </c>
      <c r="I301" s="31">
        <v>3935.17</v>
      </c>
      <c r="J301" s="31">
        <v>45486.720000000001</v>
      </c>
    </row>
  </sheetData>
  <autoFilter ref="A1:J3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8A"/>
  </sheetPr>
  <dimension ref="A1:H1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defaultColWidth="8.7109375" defaultRowHeight="15" x14ac:dyDescent="0.25"/>
  <cols>
    <col min="1" max="1" width="12" customWidth="1"/>
    <col min="2" max="2" width="16" customWidth="1"/>
    <col min="3" max="4" width="14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ht="27.75" customHeight="1" x14ac:dyDescent="0.25">
      <c r="A1" s="5" t="s">
        <v>44</v>
      </c>
      <c r="B1" s="5"/>
      <c r="C1" s="5"/>
      <c r="D1" s="5"/>
      <c r="E1" s="5"/>
      <c r="F1" s="5"/>
      <c r="G1" s="5"/>
      <c r="H1" s="5"/>
    </row>
    <row r="2" spans="1:8" ht="18" customHeight="1" x14ac:dyDescent="0.25">
      <c r="A2" s="12" t="s">
        <v>45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32" t="s">
        <v>15</v>
      </c>
      <c r="B4" s="32" t="s">
        <v>46</v>
      </c>
      <c r="C4" s="32" t="s">
        <v>47</v>
      </c>
      <c r="D4" s="32" t="s">
        <v>48</v>
      </c>
      <c r="E4" s="32" t="s">
        <v>49</v>
      </c>
      <c r="F4" s="32" t="s">
        <v>50</v>
      </c>
      <c r="G4" s="32" t="s">
        <v>51</v>
      </c>
      <c r="H4" s="32" t="s">
        <v>52</v>
      </c>
    </row>
    <row r="5" spans="1:8" x14ac:dyDescent="0.25">
      <c r="A5" s="33" t="s">
        <v>22</v>
      </c>
      <c r="B5" s="34">
        <v>800769.48</v>
      </c>
      <c r="C5" s="34">
        <v>380672.81</v>
      </c>
      <c r="D5" s="34">
        <v>420096.67</v>
      </c>
      <c r="E5" s="35">
        <f t="shared" ref="E5:E17" si="0">D5/B5</f>
        <v>0.52461623537400548</v>
      </c>
      <c r="F5" s="34">
        <v>766503.19</v>
      </c>
      <c r="G5" s="27">
        <v>7195</v>
      </c>
      <c r="H5" s="28">
        <v>126.68</v>
      </c>
    </row>
    <row r="6" spans="1:8" x14ac:dyDescent="0.25">
      <c r="A6" s="36" t="s">
        <v>33</v>
      </c>
      <c r="B6" s="37">
        <v>908436</v>
      </c>
      <c r="C6" s="37">
        <v>436804.85</v>
      </c>
      <c r="D6" s="37">
        <v>471631.15</v>
      </c>
      <c r="E6" s="38">
        <f t="shared" si="0"/>
        <v>0.51916827382446318</v>
      </c>
      <c r="F6" s="37">
        <v>868320.7</v>
      </c>
      <c r="G6" s="30">
        <v>6937</v>
      </c>
      <c r="H6" s="31">
        <v>128.53</v>
      </c>
    </row>
    <row r="7" spans="1:8" x14ac:dyDescent="0.25">
      <c r="A7" s="33" t="s">
        <v>34</v>
      </c>
      <c r="B7" s="34">
        <v>955503.72</v>
      </c>
      <c r="C7" s="34">
        <v>438808.03</v>
      </c>
      <c r="D7" s="34">
        <v>516695.69</v>
      </c>
      <c r="E7" s="35">
        <f t="shared" si="0"/>
        <v>0.5407573818760224</v>
      </c>
      <c r="F7" s="34">
        <v>912966.57</v>
      </c>
      <c r="G7" s="27">
        <v>6714</v>
      </c>
      <c r="H7" s="28">
        <v>136.76</v>
      </c>
    </row>
    <row r="8" spans="1:8" x14ac:dyDescent="0.25">
      <c r="A8" s="36" t="s">
        <v>35</v>
      </c>
      <c r="B8" s="37">
        <v>577555.56000000006</v>
      </c>
      <c r="C8" s="37">
        <v>276651.23</v>
      </c>
      <c r="D8" s="37">
        <v>300904.33</v>
      </c>
      <c r="E8" s="38">
        <f t="shared" si="0"/>
        <v>0.52099633496732334</v>
      </c>
      <c r="F8" s="37">
        <v>549597.81000000006</v>
      </c>
      <c r="G8" s="30">
        <v>5744</v>
      </c>
      <c r="H8" s="31">
        <v>105.32</v>
      </c>
    </row>
    <row r="9" spans="1:8" x14ac:dyDescent="0.25">
      <c r="A9" s="33" t="s">
        <v>36</v>
      </c>
      <c r="B9" s="34">
        <v>862082.59</v>
      </c>
      <c r="C9" s="34">
        <v>441552.55</v>
      </c>
      <c r="D9" s="34">
        <v>420530.04</v>
      </c>
      <c r="E9" s="35">
        <f t="shared" si="0"/>
        <v>0.48780713690088556</v>
      </c>
      <c r="F9" s="34">
        <v>827930.5</v>
      </c>
      <c r="G9" s="27">
        <v>6331</v>
      </c>
      <c r="H9" s="28">
        <v>131.91</v>
      </c>
    </row>
    <row r="10" spans="1:8" x14ac:dyDescent="0.25">
      <c r="A10" s="36" t="s">
        <v>37</v>
      </c>
      <c r="B10" s="37">
        <v>1041230.48</v>
      </c>
      <c r="C10" s="37">
        <v>497651.23</v>
      </c>
      <c r="D10" s="37">
        <v>543579.25</v>
      </c>
      <c r="E10" s="38">
        <f t="shared" si="0"/>
        <v>0.5220546847610531</v>
      </c>
      <c r="F10" s="37">
        <v>1001178</v>
      </c>
      <c r="G10" s="30">
        <v>7700</v>
      </c>
      <c r="H10" s="31">
        <v>133.37</v>
      </c>
    </row>
    <row r="11" spans="1:8" x14ac:dyDescent="0.25">
      <c r="A11" s="33" t="s">
        <v>38</v>
      </c>
      <c r="B11" s="34">
        <v>935454.43</v>
      </c>
      <c r="C11" s="34">
        <v>446481.84</v>
      </c>
      <c r="D11" s="34">
        <v>488972.59</v>
      </c>
      <c r="E11" s="35">
        <f t="shared" si="0"/>
        <v>0.52271128803142231</v>
      </c>
      <c r="F11" s="34">
        <v>894083.48</v>
      </c>
      <c r="G11" s="27">
        <v>6854</v>
      </c>
      <c r="H11" s="28">
        <v>133.08000000000001</v>
      </c>
    </row>
    <row r="12" spans="1:8" x14ac:dyDescent="0.25">
      <c r="A12" s="36" t="s">
        <v>39</v>
      </c>
      <c r="B12" s="37">
        <v>954117.12</v>
      </c>
      <c r="C12" s="37">
        <v>431891.07</v>
      </c>
      <c r="D12" s="37">
        <v>522226.05</v>
      </c>
      <c r="E12" s="38">
        <f t="shared" si="0"/>
        <v>0.54733956560804609</v>
      </c>
      <c r="F12" s="37">
        <v>914018.32</v>
      </c>
      <c r="G12" s="30">
        <v>6561</v>
      </c>
      <c r="H12" s="31">
        <v>145.97999999999999</v>
      </c>
    </row>
    <row r="13" spans="1:8" x14ac:dyDescent="0.25">
      <c r="A13" s="33" t="s">
        <v>40</v>
      </c>
      <c r="B13" s="34">
        <v>1153530.77</v>
      </c>
      <c r="C13" s="34">
        <v>555777.34</v>
      </c>
      <c r="D13" s="34">
        <v>597753.43000000005</v>
      </c>
      <c r="E13" s="35">
        <f t="shared" si="0"/>
        <v>0.51819461218186669</v>
      </c>
      <c r="F13" s="34">
        <v>1098942.33</v>
      </c>
      <c r="G13" s="27">
        <v>7042</v>
      </c>
      <c r="H13" s="28">
        <v>163.16999999999999</v>
      </c>
    </row>
    <row r="14" spans="1:8" x14ac:dyDescent="0.25">
      <c r="A14" s="36" t="s">
        <v>41</v>
      </c>
      <c r="B14" s="37">
        <v>1098405.7</v>
      </c>
      <c r="C14" s="37">
        <v>509421.45</v>
      </c>
      <c r="D14" s="37">
        <v>588984.25</v>
      </c>
      <c r="E14" s="38">
        <f t="shared" si="0"/>
        <v>0.53621740127532114</v>
      </c>
      <c r="F14" s="37">
        <v>1054994.1599999999</v>
      </c>
      <c r="G14" s="30">
        <v>7600</v>
      </c>
      <c r="H14" s="31">
        <v>147.80000000000001</v>
      </c>
    </row>
    <row r="15" spans="1:8" x14ac:dyDescent="0.25">
      <c r="A15" s="33" t="s">
        <v>42</v>
      </c>
      <c r="B15" s="34">
        <v>1209263.5</v>
      </c>
      <c r="C15" s="34">
        <v>579740.54</v>
      </c>
      <c r="D15" s="34">
        <v>629522.96</v>
      </c>
      <c r="E15" s="35">
        <f t="shared" si="0"/>
        <v>0.52058377681952694</v>
      </c>
      <c r="F15" s="34">
        <v>1152223.54</v>
      </c>
      <c r="G15" s="27">
        <v>7876</v>
      </c>
      <c r="H15" s="28">
        <v>154.53</v>
      </c>
    </row>
    <row r="16" spans="1:8" x14ac:dyDescent="0.25">
      <c r="A16" s="36" t="s">
        <v>43</v>
      </c>
      <c r="B16" s="37">
        <v>818194.47</v>
      </c>
      <c r="C16" s="37">
        <v>386809.46</v>
      </c>
      <c r="D16" s="37">
        <v>431385.01</v>
      </c>
      <c r="E16" s="38">
        <f t="shared" si="0"/>
        <v>0.52724019266470967</v>
      </c>
      <c r="F16" s="37">
        <v>786425.02</v>
      </c>
      <c r="G16" s="30">
        <v>7131</v>
      </c>
      <c r="H16" s="31">
        <v>107.74</v>
      </c>
    </row>
    <row r="17" spans="1:8" x14ac:dyDescent="0.25">
      <c r="A17" s="39" t="s">
        <v>53</v>
      </c>
      <c r="B17" s="40">
        <f>SUM(B5:B16)</f>
        <v>11314543.82</v>
      </c>
      <c r="C17" s="40">
        <f>SUM(C5:C16)</f>
        <v>5382262.3999999994</v>
      </c>
      <c r="D17" s="40">
        <f>SUM(D5:D16)</f>
        <v>5932281.419999999</v>
      </c>
      <c r="E17" s="41">
        <f t="shared" si="0"/>
        <v>0.52430584161191562</v>
      </c>
      <c r="F17" s="40">
        <f>SUM(F5:F16)</f>
        <v>10827183.620000001</v>
      </c>
      <c r="G17" s="42">
        <f>SUM(G5:G16)</f>
        <v>83685</v>
      </c>
      <c r="H17" s="43">
        <f>AVERAGE(H5:H16)</f>
        <v>134.57250000000002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G16"/>
  <sheetViews>
    <sheetView zoomScaleNormal="100" workbookViewId="0">
      <selection activeCell="F11" sqref="F11"/>
    </sheetView>
  </sheetViews>
  <sheetFormatPr defaultColWidth="8.7109375" defaultRowHeight="15" x14ac:dyDescent="0.25"/>
  <cols>
    <col min="1" max="1" width="14" customWidth="1"/>
    <col min="2" max="2" width="16" customWidth="1"/>
    <col min="3" max="4" width="14" customWidth="1"/>
    <col min="5" max="6" width="13" customWidth="1"/>
    <col min="7" max="7" width="14" customWidth="1"/>
  </cols>
  <sheetData>
    <row r="1" spans="1:7" ht="27.75" customHeight="1" x14ac:dyDescent="0.25">
      <c r="A1" s="5" t="s">
        <v>54</v>
      </c>
      <c r="B1" s="5"/>
      <c r="C1" s="5"/>
      <c r="D1" s="5"/>
      <c r="E1" s="5"/>
      <c r="F1" s="5"/>
      <c r="G1" s="5"/>
    </row>
    <row r="2" spans="1:7" ht="15" customHeight="1" x14ac:dyDescent="0.25">
      <c r="A2" s="12" t="s">
        <v>55</v>
      </c>
      <c r="B2" s="12"/>
      <c r="C2" s="12"/>
      <c r="D2" s="12"/>
      <c r="E2" s="12"/>
      <c r="F2" s="12"/>
      <c r="G2" s="12"/>
    </row>
    <row r="4" spans="1:7" ht="30" x14ac:dyDescent="0.25">
      <c r="A4" s="32" t="s">
        <v>8</v>
      </c>
      <c r="B4" s="32" t="s">
        <v>46</v>
      </c>
      <c r="C4" s="32" t="s">
        <v>47</v>
      </c>
      <c r="D4" s="32" t="s">
        <v>48</v>
      </c>
      <c r="E4" s="32" t="s">
        <v>49</v>
      </c>
      <c r="F4" s="32" t="s">
        <v>56</v>
      </c>
      <c r="G4" s="32" t="s">
        <v>57</v>
      </c>
    </row>
    <row r="5" spans="1:7" x14ac:dyDescent="0.25">
      <c r="A5" s="33" t="s">
        <v>30</v>
      </c>
      <c r="B5" s="34">
        <v>2561299.66</v>
      </c>
      <c r="C5" s="34">
        <v>1216866.56</v>
      </c>
      <c r="D5" s="34">
        <v>1344433.1</v>
      </c>
      <c r="E5" s="35">
        <f t="shared" ref="E5:E10" si="0">D5/B5</f>
        <v>0.52490269725019212</v>
      </c>
      <c r="F5" s="27">
        <v>18473</v>
      </c>
      <c r="G5" s="35">
        <f>B5/11314544</f>
        <v>0.22637232751050332</v>
      </c>
    </row>
    <row r="6" spans="1:7" x14ac:dyDescent="0.25">
      <c r="A6" s="36" t="s">
        <v>32</v>
      </c>
      <c r="B6" s="37">
        <v>2337199.83</v>
      </c>
      <c r="C6" s="37">
        <v>1094993.74</v>
      </c>
      <c r="D6" s="37">
        <v>1242206.0900000001</v>
      </c>
      <c r="E6" s="38">
        <f t="shared" si="0"/>
        <v>0.53149331694072566</v>
      </c>
      <c r="F6" s="30">
        <v>16171</v>
      </c>
      <c r="G6" s="38">
        <f>B6/11314544</f>
        <v>0.20656597649892033</v>
      </c>
    </row>
    <row r="7" spans="1:7" x14ac:dyDescent="0.25">
      <c r="A7" s="33" t="s">
        <v>29</v>
      </c>
      <c r="B7" s="34">
        <v>2189845.9300000002</v>
      </c>
      <c r="C7" s="34">
        <v>1051052.6299999999</v>
      </c>
      <c r="D7" s="34">
        <v>1138793.3</v>
      </c>
      <c r="E7" s="35">
        <f t="shared" si="0"/>
        <v>0.52003352582891527</v>
      </c>
      <c r="F7" s="27">
        <v>15920</v>
      </c>
      <c r="G7" s="35">
        <f>B7/11314544</f>
        <v>0.19354257051808718</v>
      </c>
    </row>
    <row r="8" spans="1:7" x14ac:dyDescent="0.25">
      <c r="A8" s="36" t="s">
        <v>23</v>
      </c>
      <c r="B8" s="37">
        <v>2170520.5299999998</v>
      </c>
      <c r="C8" s="37">
        <v>1041721.99</v>
      </c>
      <c r="D8" s="37">
        <v>1128798.54</v>
      </c>
      <c r="E8" s="38">
        <f t="shared" si="0"/>
        <v>0.52005890955567236</v>
      </c>
      <c r="F8" s="30">
        <v>17241</v>
      </c>
      <c r="G8" s="38">
        <f>B8/11314544</f>
        <v>0.19183455647881167</v>
      </c>
    </row>
    <row r="9" spans="1:7" x14ac:dyDescent="0.25">
      <c r="A9" s="33" t="s">
        <v>31</v>
      </c>
      <c r="B9" s="34">
        <v>2055677.87</v>
      </c>
      <c r="C9" s="34">
        <v>977627.48</v>
      </c>
      <c r="D9" s="34">
        <v>1078050.3899999999</v>
      </c>
      <c r="E9" s="35">
        <f t="shared" si="0"/>
        <v>0.52442574088711669</v>
      </c>
      <c r="F9" s="27">
        <v>15880</v>
      </c>
      <c r="G9" s="35">
        <f>B9/11314544</f>
        <v>0.1816845530849498</v>
      </c>
    </row>
    <row r="10" spans="1:7" x14ac:dyDescent="0.25">
      <c r="A10" s="39" t="s">
        <v>53</v>
      </c>
      <c r="B10" s="40">
        <f>SUM(B5:B9)</f>
        <v>11314543.82</v>
      </c>
      <c r="C10" s="40">
        <f>SUM(C5:C9)</f>
        <v>5382262.4000000004</v>
      </c>
      <c r="D10" s="40">
        <f>SUM(D5:D9)</f>
        <v>5932281.4199999999</v>
      </c>
      <c r="E10" s="41">
        <f t="shared" si="0"/>
        <v>0.52430584161191574</v>
      </c>
      <c r="F10" s="42">
        <f>SUM(F5:F9)</f>
        <v>83685</v>
      </c>
      <c r="G10" s="41" t="s">
        <v>58</v>
      </c>
    </row>
    <row r="12" spans="1:7" x14ac:dyDescent="0.25">
      <c r="A12" s="4" t="s">
        <v>59</v>
      </c>
      <c r="B12" s="4"/>
      <c r="C12" s="4"/>
      <c r="D12" s="4"/>
      <c r="E12" s="4"/>
      <c r="F12" s="4"/>
      <c r="G12" s="4"/>
    </row>
    <row r="13" spans="1:7" ht="19.5" customHeight="1" x14ac:dyDescent="0.25">
      <c r="A13" s="3" t="s">
        <v>60</v>
      </c>
      <c r="B13" s="3"/>
      <c r="C13" s="3"/>
      <c r="D13" s="3"/>
      <c r="E13" s="3"/>
      <c r="F13" s="3"/>
      <c r="G13" s="3"/>
    </row>
    <row r="14" spans="1:7" ht="19.5" customHeight="1" x14ac:dyDescent="0.25">
      <c r="A14" s="2" t="s">
        <v>61</v>
      </c>
      <c r="B14" s="2"/>
      <c r="C14" s="2"/>
      <c r="D14" s="2"/>
      <c r="E14" s="2"/>
      <c r="F14" s="2"/>
      <c r="G14" s="2"/>
    </row>
    <row r="15" spans="1:7" ht="19.5" customHeight="1" x14ac:dyDescent="0.25">
      <c r="A15" s="3" t="s">
        <v>62</v>
      </c>
      <c r="B15" s="3"/>
      <c r="C15" s="3"/>
      <c r="D15" s="3"/>
      <c r="E15" s="3"/>
      <c r="F15" s="3"/>
      <c r="G15" s="3"/>
    </row>
    <row r="16" spans="1:7" ht="19.5" customHeight="1" x14ac:dyDescent="0.25">
      <c r="A16" s="1" t="s">
        <v>63</v>
      </c>
      <c r="B16" s="1"/>
      <c r="C16" s="1"/>
      <c r="D16" s="1"/>
      <c r="E16" s="1"/>
      <c r="F16" s="1"/>
      <c r="G16" s="1"/>
    </row>
  </sheetData>
  <mergeCells count="7">
    <mergeCell ref="A15:G15"/>
    <mergeCell ref="A16:G16"/>
    <mergeCell ref="A1:G1"/>
    <mergeCell ref="A2:G2"/>
    <mergeCell ref="A12:G12"/>
    <mergeCell ref="A13:G13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A1:G10"/>
  <sheetViews>
    <sheetView zoomScaleNormal="100" workbookViewId="0">
      <selection activeCell="C11" sqref="C11"/>
    </sheetView>
  </sheetViews>
  <sheetFormatPr defaultColWidth="8.7109375" defaultRowHeight="15" x14ac:dyDescent="0.25"/>
  <cols>
    <col min="1" max="1" width="14" customWidth="1"/>
    <col min="2" max="2" width="16" customWidth="1"/>
    <col min="3" max="4" width="14" customWidth="1"/>
    <col min="5" max="6" width="13" customWidth="1"/>
    <col min="7" max="7" width="14" customWidth="1"/>
  </cols>
  <sheetData>
    <row r="1" spans="1:7" ht="27.75" customHeight="1" x14ac:dyDescent="0.25">
      <c r="A1" s="5" t="s">
        <v>64</v>
      </c>
      <c r="B1" s="5"/>
      <c r="C1" s="5"/>
      <c r="D1" s="5"/>
      <c r="E1" s="5"/>
      <c r="F1" s="5"/>
      <c r="G1" s="5"/>
    </row>
    <row r="4" spans="1:7" ht="30" x14ac:dyDescent="0.25">
      <c r="A4" s="32" t="s">
        <v>13</v>
      </c>
      <c r="B4" s="32" t="s">
        <v>46</v>
      </c>
      <c r="C4" s="32" t="s">
        <v>47</v>
      </c>
      <c r="D4" s="32" t="s">
        <v>48</v>
      </c>
      <c r="E4" s="32" t="s">
        <v>49</v>
      </c>
      <c r="F4" s="32" t="s">
        <v>56</v>
      </c>
      <c r="G4" s="32" t="s">
        <v>52</v>
      </c>
    </row>
    <row r="5" spans="1:7" x14ac:dyDescent="0.25">
      <c r="A5" s="33" t="s">
        <v>27</v>
      </c>
      <c r="B5" s="34">
        <v>2463240.04</v>
      </c>
      <c r="C5" s="34">
        <v>1196021.46</v>
      </c>
      <c r="D5" s="34">
        <v>1267218.58</v>
      </c>
      <c r="E5" s="35">
        <f t="shared" ref="E5:E10" si="0">D5/B5</f>
        <v>0.51445192487208846</v>
      </c>
      <c r="F5" s="27">
        <v>16997</v>
      </c>
      <c r="G5" s="28">
        <v>143.5</v>
      </c>
    </row>
    <row r="6" spans="1:7" x14ac:dyDescent="0.25">
      <c r="A6" s="36" t="s">
        <v>25</v>
      </c>
      <c r="B6" s="37">
        <v>2392165.67</v>
      </c>
      <c r="C6" s="37">
        <v>1137904.9099999999</v>
      </c>
      <c r="D6" s="37">
        <v>1254260.76</v>
      </c>
      <c r="E6" s="38">
        <f t="shared" si="0"/>
        <v>0.52432019058278689</v>
      </c>
      <c r="F6" s="30">
        <v>16550</v>
      </c>
      <c r="G6" s="31">
        <v>141.9</v>
      </c>
    </row>
    <row r="7" spans="1:7" x14ac:dyDescent="0.25">
      <c r="A7" s="33" t="s">
        <v>26</v>
      </c>
      <c r="B7" s="34">
        <v>2295371.02</v>
      </c>
      <c r="C7" s="34">
        <v>1054137.94</v>
      </c>
      <c r="D7" s="34">
        <v>1241233.08</v>
      </c>
      <c r="E7" s="35">
        <f t="shared" si="0"/>
        <v>0.54075487979281012</v>
      </c>
      <c r="F7" s="27">
        <v>16588</v>
      </c>
      <c r="G7" s="28">
        <v>138.52000000000001</v>
      </c>
    </row>
    <row r="8" spans="1:7" x14ac:dyDescent="0.25">
      <c r="A8" s="36" t="s">
        <v>24</v>
      </c>
      <c r="B8" s="37">
        <v>2143624.1</v>
      </c>
      <c r="C8" s="37">
        <v>1034609.87</v>
      </c>
      <c r="D8" s="37">
        <v>1109014.23</v>
      </c>
      <c r="E8" s="38">
        <f t="shared" si="0"/>
        <v>0.51735480581693405</v>
      </c>
      <c r="F8" s="30">
        <v>16599</v>
      </c>
      <c r="G8" s="31">
        <v>130.37</v>
      </c>
    </row>
    <row r="9" spans="1:7" x14ac:dyDescent="0.25">
      <c r="A9" s="33" t="s">
        <v>28</v>
      </c>
      <c r="B9" s="34">
        <v>2020142.99</v>
      </c>
      <c r="C9" s="34">
        <v>959588.22</v>
      </c>
      <c r="D9" s="34">
        <v>1060554.77</v>
      </c>
      <c r="E9" s="35">
        <f t="shared" si="0"/>
        <v>0.52498995133012838</v>
      </c>
      <c r="F9" s="27">
        <v>16951</v>
      </c>
      <c r="G9" s="28">
        <v>118.58</v>
      </c>
    </row>
    <row r="10" spans="1:7" x14ac:dyDescent="0.25">
      <c r="A10" s="39" t="s">
        <v>53</v>
      </c>
      <c r="B10" s="40">
        <f>SUM(B5:B9)</f>
        <v>11314543.82</v>
      </c>
      <c r="C10" s="40">
        <f>SUM(C5:C9)</f>
        <v>5382262.3999999994</v>
      </c>
      <c r="D10" s="40">
        <f>SUM(D5:D9)</f>
        <v>5932281.4199999999</v>
      </c>
      <c r="E10" s="41">
        <f t="shared" si="0"/>
        <v>0.52430584161191574</v>
      </c>
      <c r="F10" s="42">
        <f>SUM(F5:F9)</f>
        <v>83685</v>
      </c>
      <c r="G10" s="43">
        <f>AVERAGE(G5:G9)</f>
        <v>134.57400000000001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Raw Data</vt:lpstr>
      <vt:lpstr>Monthly Summary</vt:lpstr>
      <vt:lpstr>Regional Analysis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Aira Mapute</cp:lastModifiedBy>
  <cp:revision>0</cp:revision>
  <dcterms:created xsi:type="dcterms:W3CDTF">2026-05-13T07:59:38Z</dcterms:created>
  <dcterms:modified xsi:type="dcterms:W3CDTF">2026-05-13T08:49:03Z</dcterms:modified>
  <dc:language>en-US</dc:language>
</cp:coreProperties>
</file>